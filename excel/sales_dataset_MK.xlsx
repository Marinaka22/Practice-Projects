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4e7b318f8447a3/Documents/"/>
    </mc:Choice>
  </mc:AlternateContent>
  <xr:revisionPtr revIDLastSave="315" documentId="8_{285427D3-DD7F-4FDE-89D9-63FC271E59DE}" xr6:coauthVersionLast="47" xr6:coauthVersionMax="47" xr10:uidLastSave="{E51A57E1-649D-4C4E-835B-C2A7AB071E43}"/>
  <bookViews>
    <workbookView xWindow="28680" yWindow="-120" windowWidth="29040" windowHeight="15720" activeTab="4" xr2:uid="{9905D16D-A789-42EC-9385-8FE48421793E}"/>
  </bookViews>
  <sheets>
    <sheet name="Moving Average" sheetId="1" r:id="rId1"/>
    <sheet name="sales_dataset" sheetId="2" r:id="rId2"/>
    <sheet name="ANOVA" sheetId="3" r:id="rId3"/>
    <sheet name="Covariance" sheetId="4" r:id="rId4"/>
    <sheet name="Correlation" sheetId="5" r:id="rId5"/>
  </sheets>
  <calcPr calcId="0"/>
</workbook>
</file>

<file path=xl/calcChain.xml><?xml version="1.0" encoding="utf-8"?>
<calcChain xmlns="http://schemas.openxmlformats.org/spreadsheetml/2006/main">
  <c r="E19" i="4" l="1"/>
  <c r="D18" i="4"/>
  <c r="C17" i="4"/>
  <c r="D5" i="1"/>
  <c r="D6" i="1"/>
  <c r="D7" i="1"/>
  <c r="D8" i="1"/>
  <c r="D9" i="1"/>
  <c r="D10" i="1"/>
  <c r="D11" i="1"/>
  <c r="D12" i="1"/>
  <c r="D13" i="1"/>
  <c r="C2" i="1"/>
  <c r="C3" i="1"/>
  <c r="C4" i="1"/>
  <c r="C5" i="1"/>
  <c r="C6" i="1"/>
  <c r="C7" i="1"/>
  <c r="C8" i="1"/>
  <c r="C9" i="1"/>
  <c r="C10" i="1"/>
  <c r="C11" i="1"/>
  <c r="C12" i="1"/>
  <c r="C13" i="1"/>
</calcChain>
</file>

<file path=xl/sharedStrings.xml><?xml version="1.0" encoding="utf-8"?>
<sst xmlns="http://schemas.openxmlformats.org/spreadsheetml/2006/main" count="122" uniqueCount="31">
  <si>
    <t>Year</t>
  </si>
  <si>
    <t>Region</t>
  </si>
  <si>
    <t>Product A Sales</t>
  </si>
  <si>
    <t>Product B Sales</t>
  </si>
  <si>
    <t>Product C Sales</t>
  </si>
  <si>
    <t>India</t>
  </si>
  <si>
    <t>USA</t>
  </si>
  <si>
    <t>Canada</t>
  </si>
  <si>
    <t>UK</t>
  </si>
  <si>
    <t>Total Sales</t>
  </si>
  <si>
    <t>Moving Average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</si>
  <si>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</si>
  <si>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</si>
  <si>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</si>
  <si>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</si>
  <si>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</si>
  <si>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</si>
  <si>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</si>
  <si>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</si>
  <si>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</si>
  <si>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</si>
  <si>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</si>
  <si>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</si>
  <si>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</si>
  <si>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</si>
  <si>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</si>
  <si>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</si>
  <si>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</si>
  <si>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</si>
  <si>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Since F 0.107 is less then F crit 3.28, data shows that the products don’t differ significantly. Since P-value is higher than 0.05, the sales diffrences between the products are likely random chance.</t>
  </si>
  <si>
    <t>All three covariances are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</si>
</sst>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i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0" fontId="0" fillId="0" borderId="0" xfId="0" applyFill="1" applyBorder="1" applyAlignment="1"/>
    <xf numFmtId="0" fontId="0" fillId="0" borderId="11" xfId="0" applyFill="1" applyBorder="1" applyAlignment="1"/>
    <xf numFmtId="0" fontId="19" fillId="0" borderId="12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13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Moving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'Moving Average'!$A$1:$B$13</c:f>
              <c:multiLvlStrCache>
                <c:ptCount val="13"/>
                <c:lvl>
                  <c:pt idx="0">
                    <c:v>Year</c:v>
                  </c:pt>
                  <c:pt idx="1">
                    <c:v>2019</c:v>
                  </c:pt>
                  <c:pt idx="2">
                    <c:v>2019</c:v>
                  </c:pt>
                  <c:pt idx="3">
                    <c:v>2019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2020</c:v>
                  </c:pt>
                  <c:pt idx="7">
                    <c:v>2020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2021</c:v>
                  </c:pt>
                  <c:pt idx="11">
                    <c:v>2021</c:v>
                  </c:pt>
                  <c:pt idx="12">
                    <c:v>2021</c:v>
                  </c:pt>
                </c:lvl>
                <c:lvl>
                  <c:pt idx="0">
                    <c:v>Region</c:v>
                  </c:pt>
                  <c:pt idx="1">
                    <c:v>India</c:v>
                  </c:pt>
                  <c:pt idx="2">
                    <c:v>USA</c:v>
                  </c:pt>
                  <c:pt idx="3">
                    <c:v>Canada</c:v>
                  </c:pt>
                  <c:pt idx="4">
                    <c:v>UK</c:v>
                  </c:pt>
                  <c:pt idx="5">
                    <c:v>India</c:v>
                  </c:pt>
                  <c:pt idx="6">
                    <c:v>USA</c:v>
                  </c:pt>
                  <c:pt idx="7">
                    <c:v>Canada</c:v>
                  </c:pt>
                  <c:pt idx="8">
                    <c:v>UK</c:v>
                  </c:pt>
                  <c:pt idx="9">
                    <c:v>India</c:v>
                  </c:pt>
                  <c:pt idx="10">
                    <c:v>USA</c:v>
                  </c:pt>
                  <c:pt idx="11">
                    <c:v>Canada</c:v>
                  </c:pt>
                  <c:pt idx="12">
                    <c:v>UK</c:v>
                  </c:pt>
                </c:lvl>
              </c:multiLvlStrCache>
            </c:multiLvlStrRef>
          </c:cat>
          <c:val>
            <c:numRef>
              <c:f>'Moving Average'!$C$2:$C$13</c:f>
              <c:numCache>
                <c:formatCode>General</c:formatCode>
                <c:ptCount val="12"/>
                <c:pt idx="0">
                  <c:v>16342</c:v>
                </c:pt>
                <c:pt idx="1">
                  <c:v>20244</c:v>
                </c:pt>
                <c:pt idx="2">
                  <c:v>23137</c:v>
                </c:pt>
                <c:pt idx="3">
                  <c:v>15557</c:v>
                </c:pt>
                <c:pt idx="4">
                  <c:v>16698</c:v>
                </c:pt>
                <c:pt idx="5">
                  <c:v>22323</c:v>
                </c:pt>
                <c:pt idx="6">
                  <c:v>22452</c:v>
                </c:pt>
                <c:pt idx="7">
                  <c:v>13413</c:v>
                </c:pt>
                <c:pt idx="8">
                  <c:v>21018</c:v>
                </c:pt>
                <c:pt idx="9">
                  <c:v>20361</c:v>
                </c:pt>
                <c:pt idx="10">
                  <c:v>17246</c:v>
                </c:pt>
                <c:pt idx="11">
                  <c:v>19215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BB-42F1-9B3D-BA23E08DBF17}"/>
            </c:ext>
          </c:extLst>
        </c:ser>
        <c:ser>
          <c:idx val="1"/>
          <c:order val="1"/>
          <c:tx>
            <c:v>Forecast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'Moving Average'!$A$1:$B$13</c:f>
              <c:multiLvlStrCache>
                <c:ptCount val="13"/>
                <c:lvl>
                  <c:pt idx="0">
                    <c:v>Year</c:v>
                  </c:pt>
                  <c:pt idx="1">
                    <c:v>2019</c:v>
                  </c:pt>
                  <c:pt idx="2">
                    <c:v>2019</c:v>
                  </c:pt>
                  <c:pt idx="3">
                    <c:v>2019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2020</c:v>
                  </c:pt>
                  <c:pt idx="7">
                    <c:v>2020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2021</c:v>
                  </c:pt>
                  <c:pt idx="11">
                    <c:v>2021</c:v>
                  </c:pt>
                  <c:pt idx="12">
                    <c:v>2021</c:v>
                  </c:pt>
                </c:lvl>
                <c:lvl>
                  <c:pt idx="0">
                    <c:v>Region</c:v>
                  </c:pt>
                  <c:pt idx="1">
                    <c:v>India</c:v>
                  </c:pt>
                  <c:pt idx="2">
                    <c:v>USA</c:v>
                  </c:pt>
                  <c:pt idx="3">
                    <c:v>Canada</c:v>
                  </c:pt>
                  <c:pt idx="4">
                    <c:v>UK</c:v>
                  </c:pt>
                  <c:pt idx="5">
                    <c:v>India</c:v>
                  </c:pt>
                  <c:pt idx="6">
                    <c:v>USA</c:v>
                  </c:pt>
                  <c:pt idx="7">
                    <c:v>Canada</c:v>
                  </c:pt>
                  <c:pt idx="8">
                    <c:v>UK</c:v>
                  </c:pt>
                  <c:pt idx="9">
                    <c:v>India</c:v>
                  </c:pt>
                  <c:pt idx="10">
                    <c:v>USA</c:v>
                  </c:pt>
                  <c:pt idx="11">
                    <c:v>Canada</c:v>
                  </c:pt>
                  <c:pt idx="12">
                    <c:v>UK</c:v>
                  </c:pt>
                </c:lvl>
              </c:multiLvlStrCache>
            </c:multiLvlStrRef>
          </c:cat>
          <c:val>
            <c:numRef>
              <c:f>'Moving Average'!$D$2:$D$13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18820</c:v>
                </c:pt>
                <c:pt idx="4">
                  <c:v>18909</c:v>
                </c:pt>
                <c:pt idx="5">
                  <c:v>19428.75</c:v>
                </c:pt>
                <c:pt idx="6">
                  <c:v>19257.5</c:v>
                </c:pt>
                <c:pt idx="7">
                  <c:v>18721.5</c:v>
                </c:pt>
                <c:pt idx="8">
                  <c:v>19801.5</c:v>
                </c:pt>
                <c:pt idx="9">
                  <c:v>19311</c:v>
                </c:pt>
                <c:pt idx="10">
                  <c:v>18009.5</c:v>
                </c:pt>
                <c:pt idx="11">
                  <c:v>19460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BB-42F1-9B3D-BA23E08DB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5663152"/>
        <c:axId val="161600112"/>
      </c:lineChart>
      <c:catAx>
        <c:axId val="1835663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 Point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00112"/>
        <c:crosses val="autoZero"/>
        <c:auto val="1"/>
        <c:lblAlgn val="ctr"/>
        <c:lblOffset val="100"/>
        <c:noMultiLvlLbl val="0"/>
      </c:catAx>
      <c:valAx>
        <c:axId val="1616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663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Correlation!$B$17</c:f>
              <c:strCache>
                <c:ptCount val="1"/>
                <c:pt idx="0">
                  <c:v>Product A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Correlation!$C$16:$E$16</c:f>
              <c:strCache>
                <c:ptCount val="3"/>
                <c:pt idx="0">
                  <c:v>Product A Sales</c:v>
                </c:pt>
                <c:pt idx="1">
                  <c:v>Product B Sales</c:v>
                </c:pt>
                <c:pt idx="2">
                  <c:v>Product C Sales</c:v>
                </c:pt>
              </c:strCache>
            </c:strRef>
          </c:cat>
          <c:val>
            <c:numRef>
              <c:f>Correlation!$C$17:$E$17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10-42D5-A117-8D6B48C0A94D}"/>
            </c:ext>
          </c:extLst>
        </c:ser>
        <c:ser>
          <c:idx val="1"/>
          <c:order val="1"/>
          <c:tx>
            <c:strRef>
              <c:f>Correlation!$B$18</c:f>
              <c:strCache>
                <c:ptCount val="1"/>
                <c:pt idx="0">
                  <c:v>Product B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Correlation!$C$16:$E$16</c:f>
              <c:strCache>
                <c:ptCount val="3"/>
                <c:pt idx="0">
                  <c:v>Product A Sales</c:v>
                </c:pt>
                <c:pt idx="1">
                  <c:v>Product B Sales</c:v>
                </c:pt>
                <c:pt idx="2">
                  <c:v>Product C Sales</c:v>
                </c:pt>
              </c:strCache>
            </c:strRef>
          </c:cat>
          <c:val>
            <c:numRef>
              <c:f>Correlation!$C$18:$E$18</c:f>
              <c:numCache>
                <c:formatCode>General</c:formatCode>
                <c:ptCount val="3"/>
                <c:pt idx="0">
                  <c:v>-0.15122686166151589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10-42D5-A117-8D6B48C0A94D}"/>
            </c:ext>
          </c:extLst>
        </c:ser>
        <c:ser>
          <c:idx val="2"/>
          <c:order val="2"/>
          <c:tx>
            <c:strRef>
              <c:f>Correlation!$B$19</c:f>
              <c:strCache>
                <c:ptCount val="1"/>
                <c:pt idx="0">
                  <c:v>Product C 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Correlation!$C$16:$E$16</c:f>
              <c:strCache>
                <c:ptCount val="3"/>
                <c:pt idx="0">
                  <c:v>Product A Sales</c:v>
                </c:pt>
                <c:pt idx="1">
                  <c:v>Product B Sales</c:v>
                </c:pt>
                <c:pt idx="2">
                  <c:v>Product C Sales</c:v>
                </c:pt>
              </c:strCache>
            </c:strRef>
          </c:cat>
          <c:val>
            <c:numRef>
              <c:f>Correlation!$C$19:$E$19</c:f>
              <c:numCache>
                <c:formatCode>General</c:formatCode>
                <c:ptCount val="3"/>
                <c:pt idx="0">
                  <c:v>-0.10596628148938629</c:v>
                </c:pt>
                <c:pt idx="1">
                  <c:v>-1.0528776405318329E-2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10-42D5-A117-8D6B48C0A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5581488"/>
        <c:axId val="1885524816"/>
      </c:lineChart>
      <c:catAx>
        <c:axId val="183558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524816"/>
        <c:crosses val="autoZero"/>
        <c:auto val="1"/>
        <c:lblAlgn val="ctr"/>
        <c:lblOffset val="100"/>
        <c:noMultiLvlLbl val="0"/>
      </c:catAx>
      <c:valAx>
        <c:axId val="188552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58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15</xdr:row>
      <xdr:rowOff>40005</xdr:rowOff>
    </xdr:from>
    <xdr:to>
      <xdr:col>14</xdr:col>
      <xdr:colOff>459105</xdr:colOff>
      <xdr:row>31</xdr:row>
      <xdr:rowOff>163830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22A8EAE-50D8-0C9E-FD53-D728C12CD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</xdr:colOff>
      <xdr:row>20</xdr:row>
      <xdr:rowOff>164782</xdr:rowOff>
    </xdr:from>
    <xdr:to>
      <xdr:col>13</xdr:col>
      <xdr:colOff>345757</xdr:colOff>
      <xdr:row>36</xdr:row>
      <xdr:rowOff>10477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017EC85-A056-4119-CA04-FF0A96218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14BC4-B1C8-4252-808C-8A036E232A6B}">
  <dimension ref="A1:I35"/>
  <sheetViews>
    <sheetView workbookViewId="0">
      <selection activeCell="K12" sqref="K12"/>
    </sheetView>
  </sheetViews>
  <sheetFormatPr defaultRowHeight="14.4" x14ac:dyDescent="0.3"/>
  <cols>
    <col min="3" max="3" width="11.6640625" customWidth="1"/>
    <col min="4" max="5" width="16.77734375" customWidth="1"/>
    <col min="6" max="6" width="14.33203125" customWidth="1"/>
    <col min="7" max="7" width="15.109375" customWidth="1"/>
    <col min="9" max="9" width="21" customWidth="1"/>
    <col min="10" max="10" width="4.6640625" customWidth="1"/>
  </cols>
  <sheetData>
    <row r="1" spans="1:9" ht="27" customHeight="1" x14ac:dyDescent="0.3">
      <c r="A1" t="s">
        <v>1</v>
      </c>
      <c r="B1" t="s">
        <v>0</v>
      </c>
      <c r="C1" t="s">
        <v>9</v>
      </c>
      <c r="D1" t="s">
        <v>10</v>
      </c>
      <c r="E1" t="s">
        <v>2</v>
      </c>
      <c r="F1" t="s">
        <v>3</v>
      </c>
      <c r="G1" t="s">
        <v>4</v>
      </c>
    </row>
    <row r="2" spans="1:9" x14ac:dyDescent="0.3">
      <c r="A2" t="s">
        <v>5</v>
      </c>
      <c r="B2">
        <v>2019</v>
      </c>
      <c r="C2">
        <f>SUM(E2:G2)</f>
        <v>16342</v>
      </c>
      <c r="D2" t="e">
        <v>#N/A</v>
      </c>
      <c r="E2">
        <v>5674</v>
      </c>
      <c r="F2">
        <v>6721</v>
      </c>
      <c r="G2">
        <v>3947</v>
      </c>
    </row>
    <row r="3" spans="1:9" x14ac:dyDescent="0.3">
      <c r="A3" t="s">
        <v>6</v>
      </c>
      <c r="B3">
        <v>2019</v>
      </c>
      <c r="C3">
        <f>SUM(E3:G3)</f>
        <v>20244</v>
      </c>
      <c r="D3" t="e">
        <v>#N/A</v>
      </c>
      <c r="E3">
        <v>3598</v>
      </c>
      <c r="F3">
        <v>9374</v>
      </c>
      <c r="G3">
        <v>7272</v>
      </c>
    </row>
    <row r="4" spans="1:9" x14ac:dyDescent="0.3">
      <c r="A4" t="s">
        <v>7</v>
      </c>
      <c r="B4">
        <v>2019</v>
      </c>
      <c r="C4">
        <f>SUM(E4:G4)</f>
        <v>23137</v>
      </c>
      <c r="D4" t="e">
        <v>#N/A</v>
      </c>
      <c r="E4">
        <v>8765</v>
      </c>
      <c r="F4">
        <v>9272</v>
      </c>
      <c r="G4">
        <v>5100</v>
      </c>
    </row>
    <row r="5" spans="1:9" x14ac:dyDescent="0.3">
      <c r="A5" t="s">
        <v>8</v>
      </c>
      <c r="B5">
        <v>2019</v>
      </c>
      <c r="C5">
        <f>SUM(E5:G5)</f>
        <v>15557</v>
      </c>
      <c r="D5">
        <f t="shared" ref="D5:D13" si="0">AVERAGE(C2:C5)</f>
        <v>18820</v>
      </c>
      <c r="E5">
        <v>4539</v>
      </c>
      <c r="F5">
        <v>6473</v>
      </c>
      <c r="G5">
        <v>4545</v>
      </c>
    </row>
    <row r="6" spans="1:9" x14ac:dyDescent="0.3">
      <c r="A6" t="s">
        <v>5</v>
      </c>
      <c r="B6">
        <v>2020</v>
      </c>
      <c r="C6">
        <f>SUM(E6:G6)</f>
        <v>16698</v>
      </c>
      <c r="D6">
        <f t="shared" si="0"/>
        <v>18909</v>
      </c>
      <c r="E6">
        <v>6238</v>
      </c>
      <c r="F6">
        <v>3948</v>
      </c>
      <c r="G6">
        <v>6512</v>
      </c>
    </row>
    <row r="7" spans="1:9" x14ac:dyDescent="0.3">
      <c r="A7" t="s">
        <v>6</v>
      </c>
      <c r="B7">
        <v>2020</v>
      </c>
      <c r="C7">
        <f>SUM(E7:G7)</f>
        <v>22323</v>
      </c>
      <c r="D7">
        <f t="shared" si="0"/>
        <v>19428.75</v>
      </c>
      <c r="E7">
        <v>8728</v>
      </c>
      <c r="F7">
        <v>7972</v>
      </c>
      <c r="G7">
        <v>5623</v>
      </c>
    </row>
    <row r="8" spans="1:9" x14ac:dyDescent="0.3">
      <c r="A8" t="s">
        <v>7</v>
      </c>
      <c r="B8">
        <v>2020</v>
      </c>
      <c r="C8">
        <f>SUM(E8:G8)</f>
        <v>22452</v>
      </c>
      <c r="D8">
        <f t="shared" si="0"/>
        <v>19257.5</v>
      </c>
      <c r="E8">
        <v>4589</v>
      </c>
      <c r="F8">
        <v>9224</v>
      </c>
      <c r="G8">
        <v>8639</v>
      </c>
    </row>
    <row r="9" spans="1:9" x14ac:dyDescent="0.3">
      <c r="A9" t="s">
        <v>8</v>
      </c>
      <c r="B9">
        <v>2020</v>
      </c>
      <c r="C9">
        <f>SUM(E9:G9)</f>
        <v>13413</v>
      </c>
      <c r="D9">
        <f t="shared" si="0"/>
        <v>18721.5</v>
      </c>
      <c r="E9">
        <v>6098</v>
      </c>
      <c r="F9">
        <v>2315</v>
      </c>
      <c r="G9">
        <v>5000</v>
      </c>
    </row>
    <row r="10" spans="1:9" x14ac:dyDescent="0.3">
      <c r="A10" t="s">
        <v>5</v>
      </c>
      <c r="B10">
        <v>2021</v>
      </c>
      <c r="C10">
        <f>SUM(E10:G10)</f>
        <v>21018</v>
      </c>
      <c r="D10">
        <f t="shared" si="0"/>
        <v>19801.5</v>
      </c>
      <c r="E10">
        <v>7312</v>
      </c>
      <c r="F10">
        <v>8665</v>
      </c>
      <c r="G10">
        <v>5041</v>
      </c>
    </row>
    <row r="11" spans="1:9" x14ac:dyDescent="0.3">
      <c r="A11" t="s">
        <v>6</v>
      </c>
      <c r="B11">
        <v>2021</v>
      </c>
      <c r="C11">
        <f>SUM(E11:G11)</f>
        <v>20361</v>
      </c>
      <c r="D11">
        <f t="shared" si="0"/>
        <v>19311</v>
      </c>
      <c r="E11">
        <v>8361</v>
      </c>
      <c r="F11">
        <v>4629</v>
      </c>
      <c r="G11">
        <v>7371</v>
      </c>
    </row>
    <row r="12" spans="1:9" x14ac:dyDescent="0.3">
      <c r="A12" t="s">
        <v>7</v>
      </c>
      <c r="B12">
        <v>2021</v>
      </c>
      <c r="C12">
        <f>SUM(E12:G12)</f>
        <v>17246</v>
      </c>
      <c r="D12">
        <f t="shared" si="0"/>
        <v>18009.5</v>
      </c>
      <c r="E12">
        <v>5343</v>
      </c>
      <c r="F12">
        <v>5126</v>
      </c>
      <c r="G12">
        <v>6777</v>
      </c>
    </row>
    <row r="13" spans="1:9" x14ac:dyDescent="0.3">
      <c r="A13" t="s">
        <v>8</v>
      </c>
      <c r="B13">
        <v>2021</v>
      </c>
      <c r="C13">
        <f>SUM(E13:G13)</f>
        <v>19215</v>
      </c>
      <c r="D13">
        <f t="shared" si="0"/>
        <v>19460</v>
      </c>
      <c r="E13">
        <v>8265</v>
      </c>
      <c r="F13">
        <v>3341</v>
      </c>
      <c r="G13">
        <v>7609</v>
      </c>
    </row>
    <row r="16" spans="1:9" ht="27.6" customHeight="1" x14ac:dyDescent="0.3">
      <c r="I16" s="1"/>
    </row>
    <row r="17" spans="9:9" ht="16.2" customHeight="1" x14ac:dyDescent="0.3"/>
    <row r="31" spans="9:9" ht="30" customHeight="1" x14ac:dyDescent="0.3">
      <c r="I31" s="3"/>
    </row>
    <row r="35" spans="3:7" x14ac:dyDescent="0.3">
      <c r="C35" s="2"/>
      <c r="D35" s="2"/>
      <c r="G35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AECEA-8611-408C-8E2B-257E94DC7D8E}">
  <dimension ref="A1:E35"/>
  <sheetViews>
    <sheetView workbookViewId="0">
      <selection sqref="A1:E13"/>
    </sheetView>
  </sheetViews>
  <sheetFormatPr defaultRowHeight="14.4" x14ac:dyDescent="0.3"/>
  <cols>
    <col min="2" max="2" width="11.6640625" customWidth="1"/>
    <col min="3" max="3" width="21.44140625" customWidth="1"/>
    <col min="4" max="4" width="14" customWidth="1"/>
    <col min="5" max="5" width="19.77734375" customWidth="1"/>
  </cols>
  <sheetData>
    <row r="1" spans="1:5" ht="27.6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5" thickBot="1" x14ac:dyDescent="0.35">
      <c r="A2" s="5">
        <v>2019</v>
      </c>
      <c r="B2" s="4" t="s">
        <v>5</v>
      </c>
      <c r="C2" s="5">
        <v>5674</v>
      </c>
      <c r="D2" s="5">
        <v>6721</v>
      </c>
      <c r="E2" s="5">
        <v>3947</v>
      </c>
    </row>
    <row r="3" spans="1:5" ht="15" thickBot="1" x14ac:dyDescent="0.35">
      <c r="A3" s="5">
        <v>2019</v>
      </c>
      <c r="B3" s="4" t="s">
        <v>6</v>
      </c>
      <c r="C3" s="5">
        <v>3598</v>
      </c>
      <c r="D3" s="5">
        <v>9374</v>
      </c>
      <c r="E3" s="5">
        <v>7272</v>
      </c>
    </row>
    <row r="4" spans="1:5" ht="15" thickBot="1" x14ac:dyDescent="0.35">
      <c r="A4" s="5">
        <v>2019</v>
      </c>
      <c r="B4" s="4" t="s">
        <v>7</v>
      </c>
      <c r="C4" s="5">
        <v>8765</v>
      </c>
      <c r="D4" s="5">
        <v>9272</v>
      </c>
      <c r="E4" s="5">
        <v>5100</v>
      </c>
    </row>
    <row r="5" spans="1:5" ht="15" thickBot="1" x14ac:dyDescent="0.35">
      <c r="A5" s="5">
        <v>2019</v>
      </c>
      <c r="B5" s="4" t="s">
        <v>8</v>
      </c>
      <c r="C5" s="5">
        <v>4539</v>
      </c>
      <c r="D5" s="5">
        <v>6473</v>
      </c>
      <c r="E5" s="5">
        <v>4545</v>
      </c>
    </row>
    <row r="6" spans="1:5" ht="15" thickBot="1" x14ac:dyDescent="0.35">
      <c r="A6" s="5">
        <v>2020</v>
      </c>
      <c r="B6" s="4" t="s">
        <v>5</v>
      </c>
      <c r="C6" s="5">
        <v>6238</v>
      </c>
      <c r="D6" s="5">
        <v>3948</v>
      </c>
      <c r="E6" s="5">
        <v>6512</v>
      </c>
    </row>
    <row r="7" spans="1:5" ht="15" thickBot="1" x14ac:dyDescent="0.35">
      <c r="A7" s="5">
        <v>2020</v>
      </c>
      <c r="B7" s="4" t="s">
        <v>6</v>
      </c>
      <c r="C7" s="5">
        <v>8728</v>
      </c>
      <c r="D7" s="5">
        <v>7972</v>
      </c>
      <c r="E7" s="5">
        <v>5623</v>
      </c>
    </row>
    <row r="8" spans="1:5" ht="15" thickBot="1" x14ac:dyDescent="0.35">
      <c r="A8" s="5">
        <v>2020</v>
      </c>
      <c r="B8" s="4" t="s">
        <v>7</v>
      </c>
      <c r="C8" s="5">
        <v>4589</v>
      </c>
      <c r="D8" s="5">
        <v>9224</v>
      </c>
      <c r="E8" s="5">
        <v>8639</v>
      </c>
    </row>
    <row r="9" spans="1:5" ht="15" thickBot="1" x14ac:dyDescent="0.35">
      <c r="A9" s="5">
        <v>2020</v>
      </c>
      <c r="B9" s="4" t="s">
        <v>8</v>
      </c>
      <c r="C9" s="5">
        <v>6098</v>
      </c>
      <c r="D9" s="5">
        <v>2315</v>
      </c>
      <c r="E9" s="5">
        <v>5000</v>
      </c>
    </row>
    <row r="10" spans="1:5" ht="15" thickBot="1" x14ac:dyDescent="0.35">
      <c r="A10" s="5">
        <v>2021</v>
      </c>
      <c r="B10" s="4" t="s">
        <v>5</v>
      </c>
      <c r="C10" s="5">
        <v>7312</v>
      </c>
      <c r="D10" s="5">
        <v>8665</v>
      </c>
      <c r="E10" s="5">
        <v>5041</v>
      </c>
    </row>
    <row r="11" spans="1:5" ht="15" thickBot="1" x14ac:dyDescent="0.35">
      <c r="A11" s="5">
        <v>2021</v>
      </c>
      <c r="B11" s="4" t="s">
        <v>6</v>
      </c>
      <c r="C11" s="5">
        <v>8361</v>
      </c>
      <c r="D11" s="5">
        <v>4629</v>
      </c>
      <c r="E11" s="5">
        <v>7371</v>
      </c>
    </row>
    <row r="12" spans="1:5" ht="15" thickBot="1" x14ac:dyDescent="0.35">
      <c r="A12" s="5">
        <v>2021</v>
      </c>
      <c r="B12" s="4" t="s">
        <v>7</v>
      </c>
      <c r="C12" s="5">
        <v>5343</v>
      </c>
      <c r="D12" s="5">
        <v>5126</v>
      </c>
      <c r="E12" s="5">
        <v>6777</v>
      </c>
    </row>
    <row r="13" spans="1:5" ht="15" thickBot="1" x14ac:dyDescent="0.35">
      <c r="A13" s="5">
        <v>2021</v>
      </c>
      <c r="B13" s="4" t="s">
        <v>8</v>
      </c>
      <c r="C13" s="5">
        <v>8265</v>
      </c>
      <c r="D13" s="5">
        <v>3341</v>
      </c>
      <c r="E13" s="5">
        <v>7609</v>
      </c>
    </row>
    <row r="35" spans="2:2" x14ac:dyDescent="0.3">
      <c r="B3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DD1C3-DD63-4F92-A7B0-7DB8422FBF09}">
  <dimension ref="A1:N30"/>
  <sheetViews>
    <sheetView workbookViewId="0">
      <selection sqref="A1:E13"/>
    </sheetView>
  </sheetViews>
  <sheetFormatPr defaultRowHeight="14.4" x14ac:dyDescent="0.3"/>
  <cols>
    <col min="1" max="1" width="12.21875" customWidth="1"/>
    <col min="2" max="2" width="16.6640625" customWidth="1"/>
    <col min="3" max="3" width="18.88671875" customWidth="1"/>
    <col min="4" max="4" width="18.21875" customWidth="1"/>
    <col min="5" max="5" width="13.21875" customWidth="1"/>
  </cols>
  <sheetData>
    <row r="1" spans="1:5" ht="27.6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5" thickBot="1" x14ac:dyDescent="0.35">
      <c r="A2" s="5">
        <v>2019</v>
      </c>
      <c r="B2" s="4" t="s">
        <v>5</v>
      </c>
      <c r="C2" s="5">
        <v>5674</v>
      </c>
      <c r="D2" s="5">
        <v>6721</v>
      </c>
      <c r="E2" s="5">
        <v>3947</v>
      </c>
    </row>
    <row r="3" spans="1:5" ht="15" thickBot="1" x14ac:dyDescent="0.35">
      <c r="A3" s="5">
        <v>2019</v>
      </c>
      <c r="B3" s="4" t="s">
        <v>6</v>
      </c>
      <c r="C3" s="5">
        <v>3598</v>
      </c>
      <c r="D3" s="5">
        <v>9374</v>
      </c>
      <c r="E3" s="5">
        <v>7272</v>
      </c>
    </row>
    <row r="4" spans="1:5" ht="15" thickBot="1" x14ac:dyDescent="0.35">
      <c r="A4" s="5">
        <v>2019</v>
      </c>
      <c r="B4" s="4" t="s">
        <v>7</v>
      </c>
      <c r="C4" s="5">
        <v>8765</v>
      </c>
      <c r="D4" s="5">
        <v>9272</v>
      </c>
      <c r="E4" s="5">
        <v>5100</v>
      </c>
    </row>
    <row r="5" spans="1:5" ht="15" thickBot="1" x14ac:dyDescent="0.35">
      <c r="A5" s="5">
        <v>2019</v>
      </c>
      <c r="B5" s="4" t="s">
        <v>8</v>
      </c>
      <c r="C5" s="5">
        <v>4539</v>
      </c>
      <c r="D5" s="5">
        <v>6473</v>
      </c>
      <c r="E5" s="5">
        <v>4545</v>
      </c>
    </row>
    <row r="6" spans="1:5" ht="15" thickBot="1" x14ac:dyDescent="0.35">
      <c r="A6" s="5">
        <v>2020</v>
      </c>
      <c r="B6" s="4" t="s">
        <v>5</v>
      </c>
      <c r="C6" s="5">
        <v>6238</v>
      </c>
      <c r="D6" s="5">
        <v>3948</v>
      </c>
      <c r="E6" s="5">
        <v>6512</v>
      </c>
    </row>
    <row r="7" spans="1:5" ht="15" thickBot="1" x14ac:dyDescent="0.35">
      <c r="A7" s="5">
        <v>2020</v>
      </c>
      <c r="B7" s="4" t="s">
        <v>6</v>
      </c>
      <c r="C7" s="5">
        <v>8728</v>
      </c>
      <c r="D7" s="5">
        <v>7972</v>
      </c>
      <c r="E7" s="5">
        <v>5623</v>
      </c>
    </row>
    <row r="8" spans="1:5" ht="15" thickBot="1" x14ac:dyDescent="0.35">
      <c r="A8" s="5">
        <v>2020</v>
      </c>
      <c r="B8" s="4" t="s">
        <v>7</v>
      </c>
      <c r="C8" s="5">
        <v>4589</v>
      </c>
      <c r="D8" s="5">
        <v>9224</v>
      </c>
      <c r="E8" s="5">
        <v>8639</v>
      </c>
    </row>
    <row r="9" spans="1:5" ht="15" thickBot="1" x14ac:dyDescent="0.35">
      <c r="A9" s="5">
        <v>2020</v>
      </c>
      <c r="B9" s="4" t="s">
        <v>8</v>
      </c>
      <c r="C9" s="5">
        <v>6098</v>
      </c>
      <c r="D9" s="5">
        <v>2315</v>
      </c>
      <c r="E9" s="5">
        <v>5000</v>
      </c>
    </row>
    <row r="10" spans="1:5" ht="15" thickBot="1" x14ac:dyDescent="0.35">
      <c r="A10" s="5">
        <v>2021</v>
      </c>
      <c r="B10" s="4" t="s">
        <v>5</v>
      </c>
      <c r="C10" s="5">
        <v>7312</v>
      </c>
      <c r="D10" s="5">
        <v>8665</v>
      </c>
      <c r="E10" s="5">
        <v>5041</v>
      </c>
    </row>
    <row r="11" spans="1:5" ht="15" thickBot="1" x14ac:dyDescent="0.35">
      <c r="A11" s="5">
        <v>2021</v>
      </c>
      <c r="B11" s="4" t="s">
        <v>6</v>
      </c>
      <c r="C11" s="5">
        <v>8361</v>
      </c>
      <c r="D11" s="5">
        <v>4629</v>
      </c>
      <c r="E11" s="5">
        <v>7371</v>
      </c>
    </row>
    <row r="12" spans="1:5" ht="15" thickBot="1" x14ac:dyDescent="0.35">
      <c r="A12" s="5">
        <v>2021</v>
      </c>
      <c r="B12" s="4" t="s">
        <v>7</v>
      </c>
      <c r="C12" s="5">
        <v>5343</v>
      </c>
      <c r="D12" s="5">
        <v>5126</v>
      </c>
      <c r="E12" s="5">
        <v>6777</v>
      </c>
    </row>
    <row r="13" spans="1:5" ht="15" thickBot="1" x14ac:dyDescent="0.35">
      <c r="A13" s="5">
        <v>2021</v>
      </c>
      <c r="B13" s="4" t="s">
        <v>8</v>
      </c>
      <c r="C13" s="5">
        <v>8265</v>
      </c>
      <c r="D13" s="5">
        <v>3341</v>
      </c>
      <c r="E13" s="5">
        <v>7609</v>
      </c>
    </row>
    <row r="16" spans="1:5" x14ac:dyDescent="0.3">
      <c r="B16" t="s">
        <v>11</v>
      </c>
    </row>
    <row r="17" spans="2:14" x14ac:dyDescent="0.3">
      <c r="I17" s="9" t="s">
        <v>29</v>
      </c>
      <c r="J17" s="9"/>
      <c r="K17" s="9"/>
      <c r="L17" s="9"/>
      <c r="M17" s="9"/>
      <c r="N17" s="9"/>
    </row>
    <row r="18" spans="2:14" ht="15" thickBot="1" x14ac:dyDescent="0.35">
      <c r="B18" t="s">
        <v>12</v>
      </c>
      <c r="I18" s="9"/>
      <c r="J18" s="9"/>
      <c r="K18" s="9"/>
      <c r="L18" s="9"/>
      <c r="M18" s="9"/>
      <c r="N18" s="9"/>
    </row>
    <row r="19" spans="2:14" x14ac:dyDescent="0.3">
      <c r="B19" s="8" t="s">
        <v>13</v>
      </c>
      <c r="C19" s="8" t="s">
        <v>14</v>
      </c>
      <c r="D19" s="8" t="s">
        <v>15</v>
      </c>
      <c r="E19" s="8" t="s">
        <v>16</v>
      </c>
      <c r="F19" s="8" t="s">
        <v>17</v>
      </c>
      <c r="I19" s="9"/>
      <c r="J19" s="9"/>
      <c r="K19" s="9"/>
      <c r="L19" s="9"/>
      <c r="M19" s="9"/>
      <c r="N19" s="9"/>
    </row>
    <row r="20" spans="2:14" x14ac:dyDescent="0.3">
      <c r="B20" s="6" t="s">
        <v>2</v>
      </c>
      <c r="C20" s="6">
        <v>12</v>
      </c>
      <c r="D20" s="6">
        <v>77510</v>
      </c>
      <c r="E20" s="6">
        <v>6459.166666666667</v>
      </c>
      <c r="F20" s="6">
        <v>3225664.515151517</v>
      </c>
      <c r="I20" s="9"/>
      <c r="J20" s="9"/>
      <c r="K20" s="9"/>
      <c r="L20" s="9"/>
      <c r="M20" s="9"/>
      <c r="N20" s="9"/>
    </row>
    <row r="21" spans="2:14" x14ac:dyDescent="0.3">
      <c r="B21" s="6" t="s">
        <v>3</v>
      </c>
      <c r="C21" s="6">
        <v>12</v>
      </c>
      <c r="D21" s="6">
        <v>77060</v>
      </c>
      <c r="E21" s="6">
        <v>6421.666666666667</v>
      </c>
      <c r="F21" s="6">
        <v>6326246.2424242441</v>
      </c>
    </row>
    <row r="22" spans="2:14" ht="15" thickBot="1" x14ac:dyDescent="0.35">
      <c r="B22" s="7" t="s">
        <v>4</v>
      </c>
      <c r="C22" s="7">
        <v>12</v>
      </c>
      <c r="D22" s="7">
        <v>73436</v>
      </c>
      <c r="E22" s="7">
        <v>6119.666666666667</v>
      </c>
      <c r="F22" s="7">
        <v>2086227.515151517</v>
      </c>
    </row>
    <row r="25" spans="2:14" ht="15" thickBot="1" x14ac:dyDescent="0.35">
      <c r="B25" t="s">
        <v>18</v>
      </c>
    </row>
    <row r="26" spans="2:14" x14ac:dyDescent="0.3">
      <c r="B26" s="8" t="s">
        <v>19</v>
      </c>
      <c r="C26" s="8" t="s">
        <v>20</v>
      </c>
      <c r="D26" s="8" t="s">
        <v>21</v>
      </c>
      <c r="E26" s="8" t="s">
        <v>22</v>
      </c>
      <c r="F26" s="8" t="s">
        <v>23</v>
      </c>
      <c r="G26" s="8" t="s">
        <v>24</v>
      </c>
      <c r="H26" s="8" t="s">
        <v>25</v>
      </c>
    </row>
    <row r="27" spans="2:14" x14ac:dyDescent="0.3">
      <c r="B27" s="6" t="s">
        <v>26</v>
      </c>
      <c r="C27" s="6">
        <v>831481.9999999851</v>
      </c>
      <c r="D27" s="6">
        <v>2</v>
      </c>
      <c r="E27" s="6">
        <v>415740.99999999255</v>
      </c>
      <c r="F27" s="6">
        <v>0.10716688277563351</v>
      </c>
      <c r="G27" s="6">
        <v>0.89868709868225538</v>
      </c>
      <c r="H27" s="6">
        <v>3.2849176510382869</v>
      </c>
    </row>
    <row r="28" spans="2:14" x14ac:dyDescent="0.3">
      <c r="B28" s="6" t="s">
        <v>27</v>
      </c>
      <c r="C28" s="6">
        <v>128019521.00000001</v>
      </c>
      <c r="D28" s="6">
        <v>33</v>
      </c>
      <c r="E28" s="6">
        <v>3879379.4242424248</v>
      </c>
      <c r="F28" s="6"/>
      <c r="G28" s="6"/>
      <c r="H28" s="6"/>
    </row>
    <row r="29" spans="2:14" x14ac:dyDescent="0.3">
      <c r="B29" s="6"/>
      <c r="C29" s="6"/>
      <c r="D29" s="6"/>
      <c r="E29" s="6"/>
      <c r="F29" s="6"/>
      <c r="G29" s="6"/>
      <c r="H29" s="6"/>
    </row>
    <row r="30" spans="2:14" ht="15" thickBot="1" x14ac:dyDescent="0.35">
      <c r="B30" s="7" t="s">
        <v>28</v>
      </c>
      <c r="C30" s="7">
        <v>128851003</v>
      </c>
      <c r="D30" s="7">
        <v>35</v>
      </c>
      <c r="E30" s="7"/>
      <c r="F30" s="7"/>
      <c r="G30" s="7"/>
      <c r="H30" s="7"/>
    </row>
  </sheetData>
  <mergeCells count="1">
    <mergeCell ref="I17:N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8235D-7BE6-42E4-9D1F-AA11BA159BB5}">
  <dimension ref="A1:E25"/>
  <sheetViews>
    <sheetView workbookViewId="0">
      <selection activeCell="C31" sqref="C31"/>
    </sheetView>
  </sheetViews>
  <sheetFormatPr defaultRowHeight="14.4" x14ac:dyDescent="0.3"/>
  <cols>
    <col min="1" max="1" width="11.5546875" customWidth="1"/>
    <col min="2" max="2" width="16.109375" customWidth="1"/>
    <col min="3" max="3" width="17.109375" customWidth="1"/>
    <col min="4" max="4" width="15" customWidth="1"/>
    <col min="5" max="5" width="16.44140625" customWidth="1"/>
  </cols>
  <sheetData>
    <row r="1" spans="1:5" ht="27.6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5" thickBot="1" x14ac:dyDescent="0.35">
      <c r="A2" s="5">
        <v>2019</v>
      </c>
      <c r="B2" s="4" t="s">
        <v>5</v>
      </c>
      <c r="C2" s="5">
        <v>5674</v>
      </c>
      <c r="D2" s="5">
        <v>6721</v>
      </c>
      <c r="E2" s="5">
        <v>3947</v>
      </c>
    </row>
    <row r="3" spans="1:5" ht="15" thickBot="1" x14ac:dyDescent="0.35">
      <c r="A3" s="5">
        <v>2019</v>
      </c>
      <c r="B3" s="4" t="s">
        <v>6</v>
      </c>
      <c r="C3" s="5">
        <v>3598</v>
      </c>
      <c r="D3" s="5">
        <v>9374</v>
      </c>
      <c r="E3" s="5">
        <v>7272</v>
      </c>
    </row>
    <row r="4" spans="1:5" ht="15" thickBot="1" x14ac:dyDescent="0.35">
      <c r="A4" s="5">
        <v>2019</v>
      </c>
      <c r="B4" s="4" t="s">
        <v>7</v>
      </c>
      <c r="C4" s="5">
        <v>8765</v>
      </c>
      <c r="D4" s="5">
        <v>9272</v>
      </c>
      <c r="E4" s="5">
        <v>5100</v>
      </c>
    </row>
    <row r="5" spans="1:5" ht="15" thickBot="1" x14ac:dyDescent="0.35">
      <c r="A5" s="5">
        <v>2019</v>
      </c>
      <c r="B5" s="4" t="s">
        <v>8</v>
      </c>
      <c r="C5" s="5">
        <v>4539</v>
      </c>
      <c r="D5" s="5">
        <v>6473</v>
      </c>
      <c r="E5" s="5">
        <v>4545</v>
      </c>
    </row>
    <row r="6" spans="1:5" ht="15" thickBot="1" x14ac:dyDescent="0.35">
      <c r="A6" s="5">
        <v>2020</v>
      </c>
      <c r="B6" s="4" t="s">
        <v>5</v>
      </c>
      <c r="C6" s="5">
        <v>6238</v>
      </c>
      <c r="D6" s="5">
        <v>3948</v>
      </c>
      <c r="E6" s="5">
        <v>6512</v>
      </c>
    </row>
    <row r="7" spans="1:5" ht="15" thickBot="1" x14ac:dyDescent="0.35">
      <c r="A7" s="5">
        <v>2020</v>
      </c>
      <c r="B7" s="4" t="s">
        <v>6</v>
      </c>
      <c r="C7" s="5">
        <v>8728</v>
      </c>
      <c r="D7" s="5">
        <v>7972</v>
      </c>
      <c r="E7" s="5">
        <v>5623</v>
      </c>
    </row>
    <row r="8" spans="1:5" ht="15" thickBot="1" x14ac:dyDescent="0.35">
      <c r="A8" s="5">
        <v>2020</v>
      </c>
      <c r="B8" s="4" t="s">
        <v>7</v>
      </c>
      <c r="C8" s="5">
        <v>4589</v>
      </c>
      <c r="D8" s="5">
        <v>9224</v>
      </c>
      <c r="E8" s="5">
        <v>8639</v>
      </c>
    </row>
    <row r="9" spans="1:5" ht="15" thickBot="1" x14ac:dyDescent="0.35">
      <c r="A9" s="5">
        <v>2020</v>
      </c>
      <c r="B9" s="4" t="s">
        <v>8</v>
      </c>
      <c r="C9" s="5">
        <v>6098</v>
      </c>
      <c r="D9" s="5">
        <v>2315</v>
      </c>
      <c r="E9" s="5">
        <v>5000</v>
      </c>
    </row>
    <row r="10" spans="1:5" ht="15" thickBot="1" x14ac:dyDescent="0.35">
      <c r="A10" s="5">
        <v>2021</v>
      </c>
      <c r="B10" s="4" t="s">
        <v>5</v>
      </c>
      <c r="C10" s="5">
        <v>7312</v>
      </c>
      <c r="D10" s="5">
        <v>8665</v>
      </c>
      <c r="E10" s="5">
        <v>5041</v>
      </c>
    </row>
    <row r="11" spans="1:5" ht="15" thickBot="1" x14ac:dyDescent="0.35">
      <c r="A11" s="5">
        <v>2021</v>
      </c>
      <c r="B11" s="4" t="s">
        <v>6</v>
      </c>
      <c r="C11" s="5">
        <v>8361</v>
      </c>
      <c r="D11" s="5">
        <v>4629</v>
      </c>
      <c r="E11" s="5">
        <v>7371</v>
      </c>
    </row>
    <row r="12" spans="1:5" ht="15" thickBot="1" x14ac:dyDescent="0.35">
      <c r="A12" s="5">
        <v>2021</v>
      </c>
      <c r="B12" s="4" t="s">
        <v>7</v>
      </c>
      <c r="C12" s="5">
        <v>5343</v>
      </c>
      <c r="D12" s="5">
        <v>5126</v>
      </c>
      <c r="E12" s="5">
        <v>6777</v>
      </c>
    </row>
    <row r="13" spans="1:5" ht="15" thickBot="1" x14ac:dyDescent="0.35">
      <c r="A13" s="5">
        <v>2021</v>
      </c>
      <c r="B13" s="4" t="s">
        <v>8</v>
      </c>
      <c r="C13" s="5">
        <v>8265</v>
      </c>
      <c r="D13" s="5">
        <v>3341</v>
      </c>
      <c r="E13" s="5">
        <v>7609</v>
      </c>
    </row>
    <row r="15" spans="1:5" ht="15" thickBot="1" x14ac:dyDescent="0.35"/>
    <row r="16" spans="1:5" x14ac:dyDescent="0.3">
      <c r="B16" s="8"/>
      <c r="C16" s="8" t="s">
        <v>2</v>
      </c>
      <c r="D16" s="8" t="s">
        <v>3</v>
      </c>
      <c r="E16" s="8" t="s">
        <v>4</v>
      </c>
    </row>
    <row r="17" spans="2:5" x14ac:dyDescent="0.3">
      <c r="B17" s="6" t="s">
        <v>2</v>
      </c>
      <c r="C17" s="6">
        <f>VARP(Covariance!$C$2:$C$13)</f>
        <v>2956859.138888889</v>
      </c>
      <c r="D17" s="6"/>
      <c r="E17" s="6"/>
    </row>
    <row r="18" spans="2:5" x14ac:dyDescent="0.3">
      <c r="B18" s="6" t="s">
        <v>3</v>
      </c>
      <c r="C18" s="6">
        <v>-626214.36111111112</v>
      </c>
      <c r="D18" s="6">
        <f>VARP(Covariance!$D$2:$D$13)</f>
        <v>5799059.055555556</v>
      </c>
      <c r="E18" s="6"/>
    </row>
    <row r="19" spans="2:5" ht="15" thickBot="1" x14ac:dyDescent="0.35">
      <c r="B19" s="7" t="s">
        <v>4</v>
      </c>
      <c r="C19" s="7">
        <v>-251982.02777777772</v>
      </c>
      <c r="D19" s="7">
        <v>-35062.527777777788</v>
      </c>
      <c r="E19" s="7">
        <f>VARP(Covariance!$E$2:$E$13)</f>
        <v>1912375.2222222222</v>
      </c>
    </row>
    <row r="22" spans="2:5" x14ac:dyDescent="0.3">
      <c r="B22" s="10" t="s">
        <v>30</v>
      </c>
      <c r="C22" s="9"/>
      <c r="D22" s="9"/>
      <c r="E22" s="9"/>
    </row>
    <row r="23" spans="2:5" x14ac:dyDescent="0.3">
      <c r="B23" s="9"/>
      <c r="C23" s="9"/>
      <c r="D23" s="9"/>
      <c r="E23" s="9"/>
    </row>
    <row r="24" spans="2:5" x14ac:dyDescent="0.3">
      <c r="B24" s="9"/>
      <c r="C24" s="9"/>
      <c r="D24" s="9"/>
      <c r="E24" s="9"/>
    </row>
    <row r="25" spans="2:5" x14ac:dyDescent="0.3">
      <c r="B25" s="9"/>
      <c r="C25" s="9"/>
      <c r="D25" s="9"/>
      <c r="E25" s="9"/>
    </row>
  </sheetData>
  <mergeCells count="1">
    <mergeCell ref="B22:E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2261-75DE-4203-8B35-A66C87FB26BA}">
  <dimension ref="A1:H19"/>
  <sheetViews>
    <sheetView tabSelected="1" topLeftCell="A11" workbookViewId="0">
      <selection activeCell="B16" sqref="B16:E19"/>
    </sheetView>
  </sheetViews>
  <sheetFormatPr defaultRowHeight="14.4" x14ac:dyDescent="0.3"/>
  <cols>
    <col min="1" max="1" width="15.109375" customWidth="1"/>
    <col min="2" max="2" width="14.21875" customWidth="1"/>
    <col min="3" max="3" width="17.77734375" customWidth="1"/>
    <col min="4" max="4" width="17.6640625" customWidth="1"/>
    <col min="5" max="5" width="13.88671875" customWidth="1"/>
  </cols>
  <sheetData>
    <row r="1" spans="1:8" ht="27.6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G1" s="11"/>
      <c r="H1" s="11"/>
    </row>
    <row r="2" spans="1:8" ht="15" thickBot="1" x14ac:dyDescent="0.35">
      <c r="A2" s="5">
        <v>2019</v>
      </c>
      <c r="B2" s="4" t="s">
        <v>5</v>
      </c>
      <c r="C2" s="5">
        <v>5674</v>
      </c>
      <c r="D2" s="5">
        <v>6721</v>
      </c>
      <c r="E2" s="5">
        <v>3947</v>
      </c>
    </row>
    <row r="3" spans="1:8" ht="15" thickBot="1" x14ac:dyDescent="0.35">
      <c r="A3" s="5">
        <v>2019</v>
      </c>
      <c r="B3" s="4" t="s">
        <v>6</v>
      </c>
      <c r="C3" s="5">
        <v>3598</v>
      </c>
      <c r="D3" s="5">
        <v>9374</v>
      </c>
      <c r="E3" s="5">
        <v>7272</v>
      </c>
    </row>
    <row r="4" spans="1:8" ht="15" thickBot="1" x14ac:dyDescent="0.35">
      <c r="A4" s="5">
        <v>2019</v>
      </c>
      <c r="B4" s="4" t="s">
        <v>7</v>
      </c>
      <c r="C4" s="5">
        <v>8765</v>
      </c>
      <c r="D4" s="5">
        <v>9272</v>
      </c>
      <c r="E4" s="5">
        <v>5100</v>
      </c>
    </row>
    <row r="5" spans="1:8" ht="15" thickBot="1" x14ac:dyDescent="0.35">
      <c r="A5" s="5">
        <v>2019</v>
      </c>
      <c r="B5" s="4" t="s">
        <v>8</v>
      </c>
      <c r="C5" s="5">
        <v>4539</v>
      </c>
      <c r="D5" s="5">
        <v>6473</v>
      </c>
      <c r="E5" s="5">
        <v>4545</v>
      </c>
    </row>
    <row r="6" spans="1:8" ht="15" thickBot="1" x14ac:dyDescent="0.35">
      <c r="A6" s="5">
        <v>2020</v>
      </c>
      <c r="B6" s="4" t="s">
        <v>5</v>
      </c>
      <c r="C6" s="5">
        <v>6238</v>
      </c>
      <c r="D6" s="5">
        <v>3948</v>
      </c>
      <c r="E6" s="5">
        <v>6512</v>
      </c>
    </row>
    <row r="7" spans="1:8" ht="15" thickBot="1" x14ac:dyDescent="0.35">
      <c r="A7" s="5">
        <v>2020</v>
      </c>
      <c r="B7" s="4" t="s">
        <v>6</v>
      </c>
      <c r="C7" s="5">
        <v>8728</v>
      </c>
      <c r="D7" s="5">
        <v>7972</v>
      </c>
      <c r="E7" s="5">
        <v>5623</v>
      </c>
    </row>
    <row r="8" spans="1:8" ht="15" thickBot="1" x14ac:dyDescent="0.35">
      <c r="A8" s="5">
        <v>2020</v>
      </c>
      <c r="B8" s="4" t="s">
        <v>7</v>
      </c>
      <c r="C8" s="5">
        <v>4589</v>
      </c>
      <c r="D8" s="5">
        <v>9224</v>
      </c>
      <c r="E8" s="5">
        <v>8639</v>
      </c>
    </row>
    <row r="9" spans="1:8" ht="15" thickBot="1" x14ac:dyDescent="0.35">
      <c r="A9" s="5">
        <v>2020</v>
      </c>
      <c r="B9" s="4" t="s">
        <v>8</v>
      </c>
      <c r="C9" s="5">
        <v>6098</v>
      </c>
      <c r="D9" s="5">
        <v>2315</v>
      </c>
      <c r="E9" s="5">
        <v>5000</v>
      </c>
    </row>
    <row r="10" spans="1:8" ht="15" thickBot="1" x14ac:dyDescent="0.35">
      <c r="A10" s="5">
        <v>2021</v>
      </c>
      <c r="B10" s="4" t="s">
        <v>5</v>
      </c>
      <c r="C10" s="5">
        <v>7312</v>
      </c>
      <c r="D10" s="5">
        <v>8665</v>
      </c>
      <c r="E10" s="5">
        <v>5041</v>
      </c>
    </row>
    <row r="11" spans="1:8" ht="15" thickBot="1" x14ac:dyDescent="0.35">
      <c r="A11" s="5">
        <v>2021</v>
      </c>
      <c r="B11" s="4" t="s">
        <v>6</v>
      </c>
      <c r="C11" s="5">
        <v>8361</v>
      </c>
      <c r="D11" s="5">
        <v>4629</v>
      </c>
      <c r="E11" s="5">
        <v>7371</v>
      </c>
    </row>
    <row r="12" spans="1:8" ht="15" thickBot="1" x14ac:dyDescent="0.35">
      <c r="A12" s="5">
        <v>2021</v>
      </c>
      <c r="B12" s="4" t="s">
        <v>7</v>
      </c>
      <c r="C12" s="5">
        <v>5343</v>
      </c>
      <c r="D12" s="5">
        <v>5126</v>
      </c>
      <c r="E12" s="5">
        <v>6777</v>
      </c>
    </row>
    <row r="13" spans="1:8" ht="15" thickBot="1" x14ac:dyDescent="0.35">
      <c r="A13" s="5">
        <v>2021</v>
      </c>
      <c r="B13" s="4" t="s">
        <v>8</v>
      </c>
      <c r="C13" s="5">
        <v>8265</v>
      </c>
      <c r="D13" s="5">
        <v>3341</v>
      </c>
      <c r="E13" s="5">
        <v>7609</v>
      </c>
    </row>
    <row r="15" spans="1:8" ht="15" thickBot="1" x14ac:dyDescent="0.35"/>
    <row r="16" spans="1:8" x14ac:dyDescent="0.3">
      <c r="B16" s="8"/>
      <c r="C16" s="8" t="s">
        <v>2</v>
      </c>
      <c r="D16" s="8" t="s">
        <v>3</v>
      </c>
      <c r="E16" s="8" t="s">
        <v>4</v>
      </c>
    </row>
    <row r="17" spans="2:5" x14ac:dyDescent="0.3">
      <c r="B17" s="6" t="s">
        <v>2</v>
      </c>
      <c r="C17" s="6">
        <v>1</v>
      </c>
      <c r="D17" s="6"/>
      <c r="E17" s="6"/>
    </row>
    <row r="18" spans="2:5" x14ac:dyDescent="0.3">
      <c r="B18" s="6" t="s">
        <v>3</v>
      </c>
      <c r="C18" s="6">
        <v>-0.15122686166151589</v>
      </c>
      <c r="D18" s="6">
        <v>1</v>
      </c>
      <c r="E18" s="6"/>
    </row>
    <row r="19" spans="2:5" ht="15" thickBot="1" x14ac:dyDescent="0.35">
      <c r="B19" s="7" t="s">
        <v>4</v>
      </c>
      <c r="C19" s="7">
        <v>-0.10596628148938629</v>
      </c>
      <c r="D19" s="7">
        <v>-1.0528776405318329E-2</v>
      </c>
      <c r="E19" s="7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Moving Average</vt:lpstr>
      <vt:lpstr>sales_dataset</vt:lpstr>
      <vt:lpstr>ANOVA</vt:lpstr>
      <vt:lpstr>Covariance</vt:lpstr>
      <vt:lpstr>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Marina Karpa</cp:lastModifiedBy>
  <dcterms:created xsi:type="dcterms:W3CDTF">2026-08-30T16:39:04Z</dcterms:created>
  <dcterms:modified xsi:type="dcterms:W3CDTF">2026-08-30T23:34:50Z</dcterms:modified>
</cp:coreProperties>
</file>