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4e7b318f8447a3/Documents/"/>
    </mc:Choice>
  </mc:AlternateContent>
  <xr:revisionPtr revIDLastSave="1046" documentId="8_{3689BB78-51A4-4258-9D47-41B96C46EDE2}" xr6:coauthVersionLast="47" xr6:coauthVersionMax="47" xr10:uidLastSave="{FD7C6B54-CF61-45D3-B741-D4261A2CF958}"/>
  <bookViews>
    <workbookView xWindow="28680" yWindow="-120" windowWidth="29040" windowHeight="15720" activeTab="1" xr2:uid="{513E2803-EEFD-4396-A8E1-1F5B8C684AA4}"/>
  </bookViews>
  <sheets>
    <sheet name="Data" sheetId="3" r:id="rId1"/>
    <sheet name="3-month average" sheetId="2" r:id="rId2"/>
    <sheet name="Correlation" sheetId="7" r:id="rId3"/>
    <sheet name="Covariance" sheetId="8" r:id="rId4"/>
    <sheet name="Sheet1" sheetId="4" r:id="rId5"/>
    <sheet name="T-test" sheetId="5" r:id="rId6"/>
    <sheet name="ANOVA" sheetId="6" r:id="rId7"/>
  </sheets>
  <definedNames>
    <definedName name="_xlnm._FilterDatabase" localSheetId="0" hidden="1">Data!$A$2:$H$16</definedName>
    <definedName name="_xlnm._FilterDatabase" localSheetId="5" hidden="1">'T-test'!$D$2:$E$5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F4" i="8"/>
  <c r="G5" i="6"/>
  <c r="G3" i="6"/>
  <c r="G4" i="6"/>
  <c r="G2" i="6"/>
  <c r="H2" i="5"/>
  <c r="G2" i="5"/>
  <c r="D4" i="2"/>
  <c r="D5" i="2"/>
  <c r="D6" i="2"/>
  <c r="D7" i="2"/>
  <c r="D8" i="2"/>
  <c r="D9" i="2"/>
  <c r="D10" i="2"/>
  <c r="D11" i="2"/>
  <c r="D12" i="2"/>
  <c r="D13" i="2"/>
  <c r="D14" i="2"/>
  <c r="D15" i="2"/>
  <c r="D16" i="2"/>
  <c r="F2" i="4"/>
  <c r="F6" i="4"/>
  <c r="F3" i="4"/>
  <c r="F4" i="4"/>
  <c r="F5" i="4"/>
  <c r="F7" i="4"/>
  <c r="F8" i="4"/>
  <c r="F9" i="4"/>
  <c r="F10" i="4"/>
  <c r="F11" i="4"/>
  <c r="F12" i="4"/>
  <c r="F13" i="4"/>
  <c r="F14" i="4"/>
  <c r="F15" i="4"/>
  <c r="F16" i="4"/>
</calcChain>
</file>

<file path=xl/sharedStrings.xml><?xml version="1.0" encoding="utf-8"?>
<sst xmlns="http://schemas.openxmlformats.org/spreadsheetml/2006/main" count="96" uniqueCount="63">
  <si>
    <t>Product ID</t>
  </si>
  <si>
    <t>Quantity Sold</t>
  </si>
  <si>
    <t>Sale Price</t>
  </si>
  <si>
    <t>Total Sale</t>
  </si>
  <si>
    <t>Location ID</t>
  </si>
  <si>
    <t>Month</t>
  </si>
  <si>
    <t>IsPromotional</t>
  </si>
  <si>
    <t>2022-02</t>
  </si>
  <si>
    <t>2021-07</t>
  </si>
  <si>
    <t>2021-05</t>
  </si>
  <si>
    <t>2021-08</t>
  </si>
  <si>
    <t>2020-12</t>
  </si>
  <si>
    <t>2022-10</t>
  </si>
  <si>
    <t>2022-05</t>
  </si>
  <si>
    <t>2021-12</t>
  </si>
  <si>
    <t>2020-07</t>
  </si>
  <si>
    <t>2020-06</t>
  </si>
  <si>
    <t>2022-09</t>
  </si>
  <si>
    <t>2020-08</t>
  </si>
  <si>
    <t>2022-06</t>
  </si>
  <si>
    <t>2020-09</t>
  </si>
  <si>
    <t>t-Test: Two-Sample Assuming Equal Variances</t>
  </si>
  <si>
    <t>Variable 1</t>
  </si>
  <si>
    <t>Variable 2</t>
  </si>
  <si>
    <t>Mean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</si>
  <si>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</si>
  <si>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</si>
  <si>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</si>
  <si>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</si>
  <si>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</si>
  <si>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</si>
  <si>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</si>
  <si>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</si>
  <si>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</si>
  <si>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</si>
  <si>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Average</t>
  </si>
  <si>
    <t>Anova: Single Factor</t>
  </si>
  <si>
    <t>SUMMARY</t>
  </si>
  <si>
    <t>Groups</t>
  </si>
  <si>
    <t>Count</t>
  </si>
  <si>
    <t>Sum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</si>
  <si>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</si>
  <si>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</si>
  <si>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</si>
  <si>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</si>
  <si>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</si>
  <si>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</si>
  <si>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</si>
  <si>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</si>
  <si>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</si>
  <si>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</si>
  <si>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Location 2</t>
  </si>
  <si>
    <t>Location 1</t>
  </si>
  <si>
    <t>average sales location 1</t>
  </si>
  <si>
    <t>Average Total Sales Location 2</t>
  </si>
  <si>
    <t>The t-test comparing average sales between location 1 and location 2.   T-test: 0.354 P-Value 0.732</t>
  </si>
  <si>
    <t>Location 3</t>
  </si>
  <si>
    <t xml:space="preserve">Location 4 </t>
  </si>
  <si>
    <t>Anova test for the 4 locations show F- 0.70 and P-value OF 0.566</t>
  </si>
  <si>
    <t>Location Average</t>
  </si>
  <si>
    <t xml:space="preserve">The correlation coefficient between the quantity sold and total sales is approximately 0.88. This is a positive relationship between the two. </t>
  </si>
  <si>
    <t>The covarience between the quantity sold and sale price is approximately 53.20. It show a positive value that shows the quantity sold increases, and the sale price also increses.</t>
  </si>
  <si>
    <t xml:space="preserve">3 month moving average of total sales for the year 2022:           June 1487.479,September 1622, and October 1204.137.  Data suggest a flucturating trend in sales in these months.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</si>
</sst>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\ hh:mm:ss"/>
    <numFmt numFmtId="171" formatCode="m/yyyy"/>
    <numFmt numFmtId="182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404040"/>
      <name val="Arial"/>
      <family val="2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71" fontId="0" fillId="0" borderId="0" xfId="0" applyNumberFormat="1"/>
    <xf numFmtId="0" fontId="1" fillId="0" borderId="0" xfId="0" applyFont="1" applyFill="1" applyBorder="1" applyAlignment="1">
      <alignment horizontal="center" vertical="top"/>
    </xf>
    <xf numFmtId="171" fontId="0" fillId="2" borderId="0" xfId="0" applyNumberFormat="1" applyFill="1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top"/>
    </xf>
    <xf numFmtId="182" fontId="0" fillId="0" borderId="0" xfId="0" applyNumberFormat="1"/>
    <xf numFmtId="44" fontId="0" fillId="0" borderId="0" xfId="1" applyFont="1"/>
    <xf numFmtId="0" fontId="6" fillId="0" borderId="0" xfId="0" applyFont="1" applyAlignment="1">
      <alignment horizontal="center" vertical="center" wrapText="1"/>
    </xf>
    <xf numFmtId="2" fontId="0" fillId="0" borderId="0" xfId="1" applyNumberFormat="1" applyFont="1"/>
    <xf numFmtId="0" fontId="4" fillId="0" borderId="3" xfId="2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/>
    <xf numFmtId="0" fontId="0" fillId="0" borderId="2" xfId="2" applyNumberFormat="1" applyFont="1" applyFill="1" applyBorder="1" applyAlignment="1"/>
    <xf numFmtId="0" fontId="0" fillId="0" borderId="0" xfId="0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'3-month average'!$A$2:$A$16</c:f>
              <c:numCache>
                <c:formatCode>General</c:formatCode>
                <c:ptCount val="15"/>
                <c:pt idx="0">
                  <c:v>440.49979949698798</c:v>
                </c:pt>
                <c:pt idx="1">
                  <c:v>2303.629180574304</c:v>
                </c:pt>
                <c:pt idx="2">
                  <c:v>858.71133238661434</c:v>
                </c:pt>
                <c:pt idx="3">
                  <c:v>2778.0349200709688</c:v>
                </c:pt>
                <c:pt idx="4">
                  <c:v>2674.7937772918349</c:v>
                </c:pt>
                <c:pt idx="5">
                  <c:v>1411.158925881783</c:v>
                </c:pt>
                <c:pt idx="6">
                  <c:v>2365.4105279202158</c:v>
                </c:pt>
                <c:pt idx="7">
                  <c:v>3093.794139963446</c:v>
                </c:pt>
                <c:pt idx="8">
                  <c:v>2773.6176980737109</c:v>
                </c:pt>
                <c:pt idx="9">
                  <c:v>1091.3958125562799</c:v>
                </c:pt>
                <c:pt idx="10">
                  <c:v>42.046318316124172</c:v>
                </c:pt>
                <c:pt idx="11">
                  <c:v>2385.9485080255181</c:v>
                </c:pt>
                <c:pt idx="12">
                  <c:v>2034.4436353026931</c:v>
                </c:pt>
                <c:pt idx="13">
                  <c:v>445.60790767116492</c:v>
                </c:pt>
                <c:pt idx="14">
                  <c:v>1132.35988741506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DC-4BFC-8C94-EE1A58E04E3D}"/>
            </c:ext>
          </c:extLst>
        </c:ser>
        <c:ser>
          <c:idx val="1"/>
          <c:order val="1"/>
          <c:tx>
            <c:v>Forecast</c:v>
          </c:tx>
          <c:val>
            <c:numRef>
              <c:f>'3-month average'!$D$2:$D$16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1200.9467708193022</c:v>
                </c:pt>
                <c:pt idx="3">
                  <c:v>1980.1251443439623</c:v>
                </c:pt>
                <c:pt idx="4">
                  <c:v>2103.8466765831395</c:v>
                </c:pt>
                <c:pt idx="5">
                  <c:v>2287.9958744148621</c:v>
                </c:pt>
                <c:pt idx="6">
                  <c:v>2150.4544103646112</c:v>
                </c:pt>
                <c:pt idx="7">
                  <c:v>2290.1211979218151</c:v>
                </c:pt>
                <c:pt idx="8">
                  <c:v>2744.2741219857908</c:v>
                </c:pt>
                <c:pt idx="9">
                  <c:v>2319.6025501978124</c:v>
                </c:pt>
                <c:pt idx="10">
                  <c:v>1302.3532763153717</c:v>
                </c:pt>
                <c:pt idx="11">
                  <c:v>1173.1302129659741</c:v>
                </c:pt>
                <c:pt idx="12">
                  <c:v>1487.4794872147784</c:v>
                </c:pt>
                <c:pt idx="13">
                  <c:v>1622.000016999792</c:v>
                </c:pt>
                <c:pt idx="14">
                  <c:v>1204.1371434629727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DC-4BFC-8C94-EE1A58E0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402080"/>
        <c:axId val="161687472"/>
      </c:lineChart>
      <c:catAx>
        <c:axId val="81840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61687472"/>
        <c:crosses val="autoZero"/>
        <c:auto val="1"/>
        <c:lblAlgn val="ctr"/>
        <c:lblOffset val="100"/>
        <c:noMultiLvlLbl val="0"/>
      </c:catAx>
      <c:valAx>
        <c:axId val="1616874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8402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26669</xdr:colOff>
      <xdr:row>0</xdr:row>
      <xdr:rowOff>161924</xdr:rowOff>
    </xdr:from>
    <xdr:to>
      <xdr:col>14</xdr:col>
      <xdr:colOff>9525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91E399-7077-BBBE-5130-D91B03590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D690-729D-42C3-BA06-FD8CACEFA4F1}">
  <dimension ref="A1:L16"/>
  <sheetViews>
    <sheetView workbookViewId="0">
      <selection activeCell="D35" sqref="D34:D35"/>
    </sheetView>
  </sheetViews>
  <sheetFormatPr defaultRowHeight="14.4" x14ac:dyDescent="0.3"/>
  <cols>
    <col min="1" max="1" width="20.33203125" customWidth="1"/>
    <col min="2" max="2" width="13.21875" customWidth="1"/>
    <col min="3" max="3" width="15.77734375" customWidth="1"/>
    <col min="4" max="4" width="16.21875" customWidth="1"/>
    <col min="5" max="5" width="12.21875" customWidth="1"/>
    <col min="6" max="6" width="13.44140625" customWidth="1"/>
    <col min="8" max="8" width="14.44140625" customWidth="1"/>
    <col min="10" max="14" width="8.88671875" customWidth="1"/>
  </cols>
  <sheetData>
    <row r="1" spans="1:1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K1" s="5"/>
    </row>
    <row r="2" spans="1:12" x14ac:dyDescent="0.3">
      <c r="A2" s="2">
        <v>44002.513923611114</v>
      </c>
      <c r="B2">
        <v>16</v>
      </c>
      <c r="C2">
        <v>2</v>
      </c>
      <c r="D2">
        <v>220.24989974849399</v>
      </c>
      <c r="E2">
        <v>440.49979949698798</v>
      </c>
      <c r="F2">
        <v>3</v>
      </c>
      <c r="G2" s="4">
        <v>43983</v>
      </c>
      <c r="H2" t="b">
        <v>0</v>
      </c>
      <c r="K2" s="4"/>
      <c r="L2" s="4"/>
    </row>
    <row r="3" spans="1:12" x14ac:dyDescent="0.3">
      <c r="A3" s="2">
        <v>44041.138287037043</v>
      </c>
      <c r="B3">
        <v>19</v>
      </c>
      <c r="C3">
        <v>7</v>
      </c>
      <c r="D3">
        <v>329.08988293918628</v>
      </c>
      <c r="E3">
        <v>2303.629180574304</v>
      </c>
      <c r="F3">
        <v>2</v>
      </c>
      <c r="G3" s="4">
        <v>44013</v>
      </c>
      <c r="H3" t="b">
        <v>0</v>
      </c>
      <c r="K3" s="4"/>
      <c r="L3" s="4"/>
    </row>
    <row r="4" spans="1:12" x14ac:dyDescent="0.3">
      <c r="A4" s="2">
        <v>44054.852384259262</v>
      </c>
      <c r="B4">
        <v>3</v>
      </c>
      <c r="C4">
        <v>2</v>
      </c>
      <c r="D4">
        <v>429.35566619330717</v>
      </c>
      <c r="E4">
        <v>858.71133238661434</v>
      </c>
      <c r="F4">
        <v>4</v>
      </c>
      <c r="G4" s="4">
        <v>44044</v>
      </c>
      <c r="H4" t="b">
        <v>0</v>
      </c>
      <c r="K4" s="4"/>
      <c r="L4" s="4"/>
    </row>
    <row r="5" spans="1:12" x14ac:dyDescent="0.3">
      <c r="A5" s="2">
        <v>44083.697731481479</v>
      </c>
      <c r="B5">
        <v>2</v>
      </c>
      <c r="C5">
        <v>9</v>
      </c>
      <c r="D5">
        <v>308.67054667455221</v>
      </c>
      <c r="E5">
        <v>2778.0349200709688</v>
      </c>
      <c r="F5">
        <v>1</v>
      </c>
      <c r="G5" s="4">
        <v>44075</v>
      </c>
      <c r="H5" t="b">
        <v>0</v>
      </c>
      <c r="K5" s="4"/>
      <c r="L5" s="4"/>
    </row>
    <row r="6" spans="1:12" x14ac:dyDescent="0.3">
      <c r="A6" s="2">
        <v>44184.629270833328</v>
      </c>
      <c r="B6">
        <v>10</v>
      </c>
      <c r="C6">
        <v>6</v>
      </c>
      <c r="D6">
        <v>445.79896288197261</v>
      </c>
      <c r="E6">
        <v>2674.7937772918349</v>
      </c>
      <c r="F6">
        <v>3</v>
      </c>
      <c r="G6" s="4">
        <v>44166</v>
      </c>
      <c r="H6" t="b">
        <v>0</v>
      </c>
      <c r="K6" s="4"/>
      <c r="L6" s="4"/>
    </row>
    <row r="7" spans="1:12" x14ac:dyDescent="0.3">
      <c r="A7" s="2">
        <v>44319.836805555547</v>
      </c>
      <c r="B7">
        <v>19</v>
      </c>
      <c r="C7">
        <v>4</v>
      </c>
      <c r="D7">
        <v>352.7897314704457</v>
      </c>
      <c r="E7">
        <v>1411.158925881783</v>
      </c>
      <c r="F7">
        <v>3</v>
      </c>
      <c r="G7" s="4">
        <v>44317</v>
      </c>
      <c r="H7" t="b">
        <v>0</v>
      </c>
      <c r="K7" s="4"/>
      <c r="L7" s="4"/>
    </row>
    <row r="8" spans="1:12" x14ac:dyDescent="0.3">
      <c r="A8" s="2">
        <v>44394.317650462966</v>
      </c>
      <c r="B8">
        <v>3</v>
      </c>
      <c r="C8">
        <v>5</v>
      </c>
      <c r="D8">
        <v>473.08210558404318</v>
      </c>
      <c r="E8">
        <v>2365.4105279202158</v>
      </c>
      <c r="F8">
        <v>1</v>
      </c>
      <c r="G8" s="4">
        <v>44378</v>
      </c>
      <c r="H8" t="b">
        <v>0</v>
      </c>
      <c r="K8" s="4"/>
      <c r="L8" s="4"/>
    </row>
    <row r="9" spans="1:12" x14ac:dyDescent="0.3">
      <c r="A9" s="2">
        <v>44389.129363425927</v>
      </c>
      <c r="B9">
        <v>13</v>
      </c>
      <c r="C9">
        <v>8</v>
      </c>
      <c r="D9">
        <v>386.72426749543081</v>
      </c>
      <c r="E9">
        <v>3093.794139963446</v>
      </c>
      <c r="F9">
        <v>2</v>
      </c>
      <c r="G9" s="4">
        <v>44378</v>
      </c>
      <c r="H9" t="b">
        <v>0</v>
      </c>
      <c r="K9" s="4"/>
      <c r="L9" s="4"/>
    </row>
    <row r="10" spans="1:12" x14ac:dyDescent="0.3">
      <c r="A10" s="2">
        <v>44431.273692129631</v>
      </c>
      <c r="B10">
        <v>1</v>
      </c>
      <c r="C10">
        <v>6</v>
      </c>
      <c r="D10">
        <v>462.26961634561849</v>
      </c>
      <c r="E10">
        <v>2773.6176980737109</v>
      </c>
      <c r="F10">
        <v>2</v>
      </c>
      <c r="G10" s="4">
        <v>44409</v>
      </c>
      <c r="H10" t="b">
        <v>0</v>
      </c>
      <c r="K10" s="4"/>
      <c r="L10" s="4"/>
    </row>
    <row r="11" spans="1:12" x14ac:dyDescent="0.3">
      <c r="A11" s="2">
        <v>44546.363819444443</v>
      </c>
      <c r="B11">
        <v>13</v>
      </c>
      <c r="C11">
        <v>5</v>
      </c>
      <c r="D11">
        <v>218.27916251125589</v>
      </c>
      <c r="E11">
        <v>1091.3958125562799</v>
      </c>
      <c r="F11">
        <v>2</v>
      </c>
      <c r="G11" s="4">
        <v>44531</v>
      </c>
      <c r="H11" t="b">
        <v>0</v>
      </c>
      <c r="K11" s="4"/>
      <c r="L11" s="4"/>
    </row>
    <row r="12" spans="1:12" x14ac:dyDescent="0.3">
      <c r="A12" s="2">
        <v>44609.636574074073</v>
      </c>
      <c r="B12">
        <v>12</v>
      </c>
      <c r="C12">
        <v>2</v>
      </c>
      <c r="D12">
        <v>21.023159158062089</v>
      </c>
      <c r="E12">
        <v>42.046318316124172</v>
      </c>
      <c r="F12">
        <v>4</v>
      </c>
      <c r="G12" s="4">
        <v>44593</v>
      </c>
      <c r="H12" t="b">
        <v>0</v>
      </c>
      <c r="K12" s="4"/>
      <c r="L12" s="4"/>
    </row>
    <row r="13" spans="1:12" x14ac:dyDescent="0.3">
      <c r="A13" s="2">
        <v>44682.464768518519</v>
      </c>
      <c r="B13">
        <v>7</v>
      </c>
      <c r="C13">
        <v>5</v>
      </c>
      <c r="D13">
        <v>477.18970160510361</v>
      </c>
      <c r="E13">
        <v>2385.9485080255181</v>
      </c>
      <c r="F13">
        <v>1</v>
      </c>
      <c r="G13" s="4">
        <v>44682</v>
      </c>
      <c r="H13" t="b">
        <v>0</v>
      </c>
      <c r="K13" s="4"/>
      <c r="L13" s="4"/>
    </row>
    <row r="14" spans="1:12" x14ac:dyDescent="0.3">
      <c r="A14" s="2">
        <v>44729.756550925929</v>
      </c>
      <c r="B14">
        <v>18</v>
      </c>
      <c r="C14">
        <v>7</v>
      </c>
      <c r="D14">
        <v>290.6348050432419</v>
      </c>
      <c r="E14">
        <v>2034.4436353026931</v>
      </c>
      <c r="F14">
        <v>2</v>
      </c>
      <c r="G14" s="4">
        <v>44713</v>
      </c>
      <c r="H14" t="b">
        <v>0</v>
      </c>
      <c r="K14" s="4"/>
      <c r="L14" s="4"/>
    </row>
    <row r="15" spans="1:12" x14ac:dyDescent="0.3">
      <c r="A15" s="2">
        <v>44832.622685185182</v>
      </c>
      <c r="B15">
        <v>14</v>
      </c>
      <c r="C15">
        <v>1</v>
      </c>
      <c r="D15">
        <v>445.60790767116492</v>
      </c>
      <c r="E15">
        <v>445.60790767116492</v>
      </c>
      <c r="F15">
        <v>2</v>
      </c>
      <c r="G15" s="4">
        <v>44805</v>
      </c>
      <c r="H15" t="b">
        <v>0</v>
      </c>
      <c r="K15" s="4"/>
      <c r="L15" s="4"/>
    </row>
    <row r="16" spans="1:12" x14ac:dyDescent="0.3">
      <c r="A16" s="2">
        <v>44840.346319444441</v>
      </c>
      <c r="B16">
        <v>19</v>
      </c>
      <c r="C16">
        <v>4</v>
      </c>
      <c r="D16">
        <v>283.08997185376501</v>
      </c>
      <c r="E16">
        <v>1132.35988741506</v>
      </c>
      <c r="F16">
        <v>1</v>
      </c>
      <c r="G16" s="4">
        <v>44835</v>
      </c>
      <c r="H16" t="b">
        <v>0</v>
      </c>
      <c r="K16" s="4"/>
      <c r="L16" s="4"/>
    </row>
  </sheetData>
  <sortState xmlns:xlrd2="http://schemas.microsoft.com/office/spreadsheetml/2017/richdata2" ref="A2:H16">
    <sortCondition ref="G1:G16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7640-2F9F-4D16-85B8-6D427A8CF5AD}">
  <dimension ref="A1:D26"/>
  <sheetViews>
    <sheetView tabSelected="1" workbookViewId="0">
      <selection activeCell="H24" sqref="H24"/>
    </sheetView>
  </sheetViews>
  <sheetFormatPr defaultRowHeight="14.4" x14ac:dyDescent="0.3"/>
  <cols>
    <col min="1" max="1" width="12.77734375" bestFit="1" customWidth="1"/>
    <col min="2" max="2" width="19.33203125" bestFit="1" customWidth="1"/>
    <col min="3" max="3" width="14.6640625" bestFit="1" customWidth="1"/>
  </cols>
  <sheetData>
    <row r="1" spans="1:4" x14ac:dyDescent="0.3">
      <c r="A1" s="1" t="s">
        <v>3</v>
      </c>
      <c r="B1" s="1" t="s">
        <v>5</v>
      </c>
    </row>
    <row r="2" spans="1:4" x14ac:dyDescent="0.3">
      <c r="A2">
        <v>440.49979949698798</v>
      </c>
      <c r="B2" s="4">
        <v>43983</v>
      </c>
      <c r="D2" t="e">
        <v>#N/A</v>
      </c>
    </row>
    <row r="3" spans="1:4" x14ac:dyDescent="0.3">
      <c r="A3">
        <v>2303.629180574304</v>
      </c>
      <c r="B3" s="4">
        <v>44013</v>
      </c>
      <c r="D3" t="e">
        <v>#N/A</v>
      </c>
    </row>
    <row r="4" spans="1:4" x14ac:dyDescent="0.3">
      <c r="A4">
        <v>858.71133238661434</v>
      </c>
      <c r="B4" s="4">
        <v>44044</v>
      </c>
      <c r="D4">
        <f t="shared" ref="D4:D16" si="0">AVERAGE(A2:A4)</f>
        <v>1200.9467708193022</v>
      </c>
    </row>
    <row r="5" spans="1:4" x14ac:dyDescent="0.3">
      <c r="A5">
        <v>2778.0349200709688</v>
      </c>
      <c r="B5" s="4">
        <v>44075</v>
      </c>
      <c r="D5">
        <f t="shared" si="0"/>
        <v>1980.1251443439623</v>
      </c>
    </row>
    <row r="6" spans="1:4" x14ac:dyDescent="0.3">
      <c r="A6">
        <v>2674.7937772918349</v>
      </c>
      <c r="B6" s="4">
        <v>44166</v>
      </c>
      <c r="D6">
        <f t="shared" si="0"/>
        <v>2103.8466765831395</v>
      </c>
    </row>
    <row r="7" spans="1:4" x14ac:dyDescent="0.3">
      <c r="A7">
        <v>1411.158925881783</v>
      </c>
      <c r="B7" s="4">
        <v>44317</v>
      </c>
      <c r="D7">
        <f t="shared" si="0"/>
        <v>2287.9958744148621</v>
      </c>
    </row>
    <row r="8" spans="1:4" x14ac:dyDescent="0.3">
      <c r="A8">
        <v>2365.4105279202158</v>
      </c>
      <c r="B8" s="4">
        <v>44378</v>
      </c>
      <c r="D8">
        <f t="shared" si="0"/>
        <v>2150.4544103646112</v>
      </c>
    </row>
    <row r="9" spans="1:4" x14ac:dyDescent="0.3">
      <c r="A9">
        <v>3093.794139963446</v>
      </c>
      <c r="B9" s="4">
        <v>44378</v>
      </c>
      <c r="D9">
        <f t="shared" si="0"/>
        <v>2290.1211979218151</v>
      </c>
    </row>
    <row r="10" spans="1:4" x14ac:dyDescent="0.3">
      <c r="A10">
        <v>2773.6176980737109</v>
      </c>
      <c r="B10" s="4">
        <v>44409</v>
      </c>
      <c r="D10">
        <f t="shared" si="0"/>
        <v>2744.2741219857908</v>
      </c>
    </row>
    <row r="11" spans="1:4" x14ac:dyDescent="0.3">
      <c r="A11">
        <v>1091.3958125562799</v>
      </c>
      <c r="B11" s="4">
        <v>44531</v>
      </c>
      <c r="D11">
        <f t="shared" si="0"/>
        <v>2319.6025501978124</v>
      </c>
    </row>
    <row r="12" spans="1:4" x14ac:dyDescent="0.3">
      <c r="A12">
        <v>42.046318316124172</v>
      </c>
      <c r="B12" s="4">
        <v>44593</v>
      </c>
      <c r="D12">
        <f t="shared" si="0"/>
        <v>1302.3532763153717</v>
      </c>
    </row>
    <row r="13" spans="1:4" x14ac:dyDescent="0.3">
      <c r="A13">
        <v>2385.9485080255181</v>
      </c>
      <c r="B13" s="4">
        <v>44682</v>
      </c>
      <c r="D13">
        <f t="shared" si="0"/>
        <v>1173.1302129659741</v>
      </c>
    </row>
    <row r="14" spans="1:4" x14ac:dyDescent="0.3">
      <c r="A14">
        <v>2034.4436353026931</v>
      </c>
      <c r="B14" s="6">
        <v>44713</v>
      </c>
      <c r="C14" s="8"/>
      <c r="D14" s="7">
        <f t="shared" si="0"/>
        <v>1487.4794872147784</v>
      </c>
    </row>
    <row r="15" spans="1:4" x14ac:dyDescent="0.3">
      <c r="A15">
        <v>445.60790767116492</v>
      </c>
      <c r="B15" s="6">
        <v>44805</v>
      </c>
      <c r="C15" s="8"/>
      <c r="D15" s="7">
        <f t="shared" si="0"/>
        <v>1622.000016999792</v>
      </c>
    </row>
    <row r="16" spans="1:4" x14ac:dyDescent="0.3">
      <c r="A16">
        <v>1132.35988741506</v>
      </c>
      <c r="B16" s="6">
        <v>44835</v>
      </c>
      <c r="C16" s="8"/>
      <c r="D16" s="7">
        <f t="shared" si="0"/>
        <v>1204.1371434629727</v>
      </c>
    </row>
    <row r="20" spans="1:4" x14ac:dyDescent="0.3">
      <c r="A20" s="9" t="s">
        <v>62</v>
      </c>
      <c r="B20" s="9"/>
      <c r="C20" s="9"/>
      <c r="D20" s="9"/>
    </row>
    <row r="21" spans="1:4" x14ac:dyDescent="0.3">
      <c r="A21" s="9"/>
      <c r="B21" s="9"/>
      <c r="C21" s="9"/>
      <c r="D21" s="9"/>
    </row>
    <row r="22" spans="1:4" x14ac:dyDescent="0.3">
      <c r="A22" s="9"/>
      <c r="B22" s="9"/>
      <c r="C22" s="9"/>
      <c r="D22" s="9"/>
    </row>
    <row r="23" spans="1:4" x14ac:dyDescent="0.3">
      <c r="A23" s="9"/>
      <c r="B23" s="9"/>
      <c r="C23" s="9"/>
      <c r="D23" s="9"/>
    </row>
    <row r="24" spans="1:4" x14ac:dyDescent="0.3">
      <c r="A24" s="9"/>
      <c r="B24" s="9"/>
      <c r="C24" s="9"/>
      <c r="D24" s="9"/>
    </row>
    <row r="25" spans="1:4" x14ac:dyDescent="0.3">
      <c r="A25" s="9"/>
      <c r="B25" s="9"/>
      <c r="C25" s="9"/>
      <c r="D25" s="9"/>
    </row>
    <row r="26" spans="1:4" x14ac:dyDescent="0.3">
      <c r="A26" s="9"/>
      <c r="B26" s="9"/>
      <c r="C26" s="9"/>
      <c r="D26" s="9"/>
    </row>
  </sheetData>
  <mergeCells count="1">
    <mergeCell ref="A20:D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D8B5-CA2C-4344-B21F-60D7250D86C8}">
  <dimension ref="A1:J24"/>
  <sheetViews>
    <sheetView workbookViewId="0">
      <selection activeCell="G22" sqref="G22"/>
    </sheetView>
  </sheetViews>
  <sheetFormatPr defaultRowHeight="14.4" x14ac:dyDescent="0.3"/>
  <cols>
    <col min="1" max="1" width="14" customWidth="1"/>
    <col min="2" max="2" width="16.5546875" customWidth="1"/>
    <col min="8" max="8" width="14.21875" customWidth="1"/>
    <col min="9" max="9" width="13.44140625" customWidth="1"/>
    <col min="10" max="10" width="13.109375" customWidth="1"/>
  </cols>
  <sheetData>
    <row r="1" spans="1:10" x14ac:dyDescent="0.3">
      <c r="A1" s="1" t="s">
        <v>1</v>
      </c>
      <c r="B1" s="1" t="s">
        <v>3</v>
      </c>
    </row>
    <row r="2" spans="1:10" ht="15" thickBot="1" x14ac:dyDescent="0.35">
      <c r="A2">
        <v>2</v>
      </c>
      <c r="B2">
        <v>440.49979949698798</v>
      </c>
    </row>
    <row r="3" spans="1:10" x14ac:dyDescent="0.3">
      <c r="A3">
        <v>7</v>
      </c>
      <c r="B3">
        <v>2303.629180574304</v>
      </c>
      <c r="H3" s="12"/>
      <c r="I3" s="12" t="s">
        <v>1</v>
      </c>
      <c r="J3" s="12" t="s">
        <v>3</v>
      </c>
    </row>
    <row r="4" spans="1:10" x14ac:dyDescent="0.3">
      <c r="A4">
        <v>2</v>
      </c>
      <c r="B4">
        <v>858.71133238661434</v>
      </c>
      <c r="H4" s="10" t="s">
        <v>1</v>
      </c>
      <c r="I4" s="10">
        <v>1</v>
      </c>
      <c r="J4" s="10"/>
    </row>
    <row r="5" spans="1:10" ht="15" thickBot="1" x14ac:dyDescent="0.35">
      <c r="A5">
        <v>9</v>
      </c>
      <c r="B5">
        <v>2778.0349200709688</v>
      </c>
      <c r="H5" s="11" t="s">
        <v>3</v>
      </c>
      <c r="I5" s="11">
        <v>0.88688173688418492</v>
      </c>
      <c r="J5" s="11">
        <v>1</v>
      </c>
    </row>
    <row r="6" spans="1:10" x14ac:dyDescent="0.3">
      <c r="A6">
        <v>6</v>
      </c>
      <c r="B6">
        <v>2674.7937772918349</v>
      </c>
    </row>
    <row r="7" spans="1:10" x14ac:dyDescent="0.3">
      <c r="A7">
        <v>4</v>
      </c>
      <c r="B7">
        <v>1411.158925881783</v>
      </c>
    </row>
    <row r="8" spans="1:10" x14ac:dyDescent="0.3">
      <c r="A8">
        <v>5</v>
      </c>
      <c r="B8">
        <v>2365.4105279202158</v>
      </c>
    </row>
    <row r="9" spans="1:10" x14ac:dyDescent="0.3">
      <c r="A9">
        <v>8</v>
      </c>
      <c r="B9">
        <v>3093.794139963446</v>
      </c>
    </row>
    <row r="10" spans="1:10" x14ac:dyDescent="0.3">
      <c r="A10">
        <v>6</v>
      </c>
      <c r="B10">
        <v>2773.6176980737109</v>
      </c>
    </row>
    <row r="11" spans="1:10" x14ac:dyDescent="0.3">
      <c r="A11">
        <v>5</v>
      </c>
      <c r="B11">
        <v>1091.3958125562799</v>
      </c>
    </row>
    <row r="12" spans="1:10" x14ac:dyDescent="0.3">
      <c r="A12">
        <v>2</v>
      </c>
      <c r="B12">
        <v>42.046318316124172</v>
      </c>
    </row>
    <row r="13" spans="1:10" x14ac:dyDescent="0.3">
      <c r="A13">
        <v>5</v>
      </c>
      <c r="B13">
        <v>2385.9485080255181</v>
      </c>
    </row>
    <row r="14" spans="1:10" x14ac:dyDescent="0.3">
      <c r="A14">
        <v>7</v>
      </c>
      <c r="B14">
        <v>2034.4436353026931</v>
      </c>
    </row>
    <row r="15" spans="1:10" x14ac:dyDescent="0.3">
      <c r="A15">
        <v>1</v>
      </c>
      <c r="B15">
        <v>445.60790767116492</v>
      </c>
    </row>
    <row r="16" spans="1:10" x14ac:dyDescent="0.3">
      <c r="A16">
        <v>4</v>
      </c>
      <c r="B16">
        <v>1132.35988741506</v>
      </c>
    </row>
    <row r="21" spans="1:5" ht="15" customHeight="1" x14ac:dyDescent="0.3">
      <c r="A21" s="14" t="s">
        <v>60</v>
      </c>
      <c r="B21" s="14"/>
      <c r="C21" s="14"/>
      <c r="D21" s="14"/>
      <c r="E21" s="14"/>
    </row>
    <row r="22" spans="1:5" x14ac:dyDescent="0.3">
      <c r="A22" s="14"/>
      <c r="B22" s="14"/>
      <c r="C22" s="14"/>
      <c r="D22" s="14"/>
      <c r="E22" s="14"/>
    </row>
    <row r="23" spans="1:5" x14ac:dyDescent="0.3">
      <c r="A23" s="14"/>
      <c r="B23" s="14"/>
      <c r="C23" s="14"/>
      <c r="D23" s="14"/>
      <c r="E23" s="14"/>
    </row>
    <row r="24" spans="1:5" x14ac:dyDescent="0.3">
      <c r="A24" s="14"/>
      <c r="B24" s="14"/>
      <c r="C24" s="14"/>
      <c r="D24" s="14"/>
      <c r="E24" s="14"/>
    </row>
  </sheetData>
  <mergeCells count="1">
    <mergeCell ref="A21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EE8F-7C09-40ED-BDE9-5302DB7ADEE7}">
  <dimension ref="A1:G22"/>
  <sheetViews>
    <sheetView workbookViewId="0">
      <selection activeCell="I22" sqref="I22"/>
    </sheetView>
  </sheetViews>
  <sheetFormatPr defaultRowHeight="14.4" x14ac:dyDescent="0.3"/>
  <cols>
    <col min="1" max="1" width="14.33203125" customWidth="1"/>
    <col min="2" max="2" width="15.33203125" customWidth="1"/>
    <col min="5" max="5" width="12.88671875" customWidth="1"/>
    <col min="6" max="6" width="17.6640625" customWidth="1"/>
    <col min="7" max="7" width="14.33203125" customWidth="1"/>
  </cols>
  <sheetData>
    <row r="1" spans="1:7" x14ac:dyDescent="0.3">
      <c r="A1" s="1" t="s">
        <v>1</v>
      </c>
      <c r="B1" s="1" t="s">
        <v>2</v>
      </c>
    </row>
    <row r="2" spans="1:7" ht="15" thickBot="1" x14ac:dyDescent="0.35">
      <c r="A2">
        <v>2</v>
      </c>
      <c r="B2">
        <v>220.24989974849399</v>
      </c>
    </row>
    <row r="3" spans="1:7" x14ac:dyDescent="0.3">
      <c r="A3">
        <v>7</v>
      </c>
      <c r="B3">
        <v>329.08988293918628</v>
      </c>
      <c r="E3" s="20"/>
      <c r="F3" s="20" t="s">
        <v>1</v>
      </c>
      <c r="G3" s="20" t="s">
        <v>2</v>
      </c>
    </row>
    <row r="4" spans="1:7" x14ac:dyDescent="0.3">
      <c r="A4">
        <v>2</v>
      </c>
      <c r="B4">
        <v>429.35566619330717</v>
      </c>
      <c r="E4" s="21" t="s">
        <v>1</v>
      </c>
      <c r="F4" s="21">
        <f>VARP(Covariance!$A$2:$A$16)</f>
        <v>5.3155555555555551</v>
      </c>
      <c r="G4" s="21"/>
    </row>
    <row r="5" spans="1:7" ht="15" thickBot="1" x14ac:dyDescent="0.35">
      <c r="A5">
        <v>9</v>
      </c>
      <c r="B5">
        <v>308.67054667455221</v>
      </c>
      <c r="E5" s="22" t="s">
        <v>2</v>
      </c>
      <c r="F5" s="22">
        <v>53.201521335016089</v>
      </c>
      <c r="G5" s="22">
        <f>VARP(Covariance!$B$2:$B$16)</f>
        <v>14780.642234850129</v>
      </c>
    </row>
    <row r="6" spans="1:7" x14ac:dyDescent="0.3">
      <c r="A6">
        <v>6</v>
      </c>
      <c r="B6">
        <v>445.79896288197261</v>
      </c>
    </row>
    <row r="7" spans="1:7" x14ac:dyDescent="0.3">
      <c r="A7">
        <v>4</v>
      </c>
      <c r="B7">
        <v>352.7897314704457</v>
      </c>
    </row>
    <row r="8" spans="1:7" x14ac:dyDescent="0.3">
      <c r="A8">
        <v>5</v>
      </c>
      <c r="B8">
        <v>473.08210558404318</v>
      </c>
    </row>
    <row r="9" spans="1:7" x14ac:dyDescent="0.3">
      <c r="A9">
        <v>8</v>
      </c>
      <c r="B9">
        <v>386.72426749543081</v>
      </c>
    </row>
    <row r="10" spans="1:7" x14ac:dyDescent="0.3">
      <c r="A10">
        <v>6</v>
      </c>
      <c r="B10">
        <v>462.26961634561849</v>
      </c>
    </row>
    <row r="11" spans="1:7" x14ac:dyDescent="0.3">
      <c r="A11">
        <v>5</v>
      </c>
      <c r="B11">
        <v>218.27916251125589</v>
      </c>
    </row>
    <row r="12" spans="1:7" x14ac:dyDescent="0.3">
      <c r="A12">
        <v>2</v>
      </c>
      <c r="B12">
        <v>21.023159158062089</v>
      </c>
    </row>
    <row r="13" spans="1:7" x14ac:dyDescent="0.3">
      <c r="A13">
        <v>5</v>
      </c>
      <c r="B13">
        <v>477.18970160510361</v>
      </c>
    </row>
    <row r="14" spans="1:7" x14ac:dyDescent="0.3">
      <c r="A14">
        <v>7</v>
      </c>
      <c r="B14">
        <v>290.6348050432419</v>
      </c>
    </row>
    <row r="15" spans="1:7" x14ac:dyDescent="0.3">
      <c r="A15">
        <v>1</v>
      </c>
      <c r="B15">
        <v>445.60790767116492</v>
      </c>
    </row>
    <row r="16" spans="1:7" x14ac:dyDescent="0.3">
      <c r="A16">
        <v>4</v>
      </c>
      <c r="B16">
        <v>283.08997185376501</v>
      </c>
    </row>
    <row r="19" spans="1:4" x14ac:dyDescent="0.3">
      <c r="A19" s="23" t="s">
        <v>61</v>
      </c>
      <c r="B19" s="23"/>
      <c r="C19" s="23"/>
      <c r="D19" s="23"/>
    </row>
    <row r="20" spans="1:4" x14ac:dyDescent="0.3">
      <c r="A20" s="23"/>
      <c r="B20" s="23"/>
      <c r="C20" s="23"/>
      <c r="D20" s="23"/>
    </row>
    <row r="21" spans="1:4" x14ac:dyDescent="0.3">
      <c r="A21" s="23"/>
      <c r="B21" s="23"/>
      <c r="C21" s="23"/>
      <c r="D21" s="23"/>
    </row>
    <row r="22" spans="1:4" x14ac:dyDescent="0.3">
      <c r="A22" s="23"/>
      <c r="B22" s="23"/>
      <c r="C22" s="23"/>
      <c r="D22" s="23"/>
    </row>
  </sheetData>
  <mergeCells count="1">
    <mergeCell ref="A19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26C5-5574-4C91-A6C8-996A8450C8F3}">
  <dimension ref="A1:F16"/>
  <sheetViews>
    <sheetView workbookViewId="0">
      <selection activeCell="F2" sqref="F2:F16"/>
    </sheetView>
  </sheetViews>
  <sheetFormatPr defaultRowHeight="14.4" x14ac:dyDescent="0.3"/>
  <cols>
    <col min="1" max="1" width="11.5546875" customWidth="1"/>
    <col min="5" max="5" width="9.5546875" bestFit="1" customWidth="1"/>
  </cols>
  <sheetData>
    <row r="1" spans="1:6" x14ac:dyDescent="0.3">
      <c r="A1" s="1" t="s">
        <v>0</v>
      </c>
      <c r="B1" s="1" t="s">
        <v>5</v>
      </c>
    </row>
    <row r="2" spans="1:6" x14ac:dyDescent="0.3">
      <c r="A2">
        <v>16</v>
      </c>
      <c r="B2" t="s">
        <v>16</v>
      </c>
      <c r="C2">
        <v>6</v>
      </c>
      <c r="D2">
        <v>2020</v>
      </c>
      <c r="E2" s="3"/>
      <c r="F2" s="4">
        <f>DATE(D2,C2,1)</f>
        <v>43983</v>
      </c>
    </row>
    <row r="3" spans="1:6" x14ac:dyDescent="0.3">
      <c r="A3">
        <v>19</v>
      </c>
      <c r="B3" t="s">
        <v>15</v>
      </c>
      <c r="C3">
        <v>7</v>
      </c>
      <c r="D3">
        <v>2020</v>
      </c>
      <c r="F3" s="4">
        <f t="shared" ref="F3:F16" si="0">DATE(D3,C3,1)</f>
        <v>44013</v>
      </c>
    </row>
    <row r="4" spans="1:6" x14ac:dyDescent="0.3">
      <c r="A4">
        <v>3</v>
      </c>
      <c r="B4" t="s">
        <v>18</v>
      </c>
      <c r="C4">
        <v>8</v>
      </c>
      <c r="D4">
        <v>2020</v>
      </c>
      <c r="F4" s="4">
        <f t="shared" si="0"/>
        <v>44044</v>
      </c>
    </row>
    <row r="5" spans="1:6" x14ac:dyDescent="0.3">
      <c r="A5">
        <v>2</v>
      </c>
      <c r="B5" t="s">
        <v>20</v>
      </c>
      <c r="C5">
        <v>9</v>
      </c>
      <c r="D5">
        <v>2020</v>
      </c>
      <c r="F5" s="4">
        <f t="shared" si="0"/>
        <v>44075</v>
      </c>
    </row>
    <row r="6" spans="1:6" x14ac:dyDescent="0.3">
      <c r="A6">
        <v>10</v>
      </c>
      <c r="B6" t="s">
        <v>11</v>
      </c>
      <c r="C6">
        <v>12</v>
      </c>
      <c r="D6">
        <v>2020</v>
      </c>
      <c r="F6" s="4">
        <f>DATE(D6,C6,1)</f>
        <v>44166</v>
      </c>
    </row>
    <row r="7" spans="1:6" x14ac:dyDescent="0.3">
      <c r="A7">
        <v>19</v>
      </c>
      <c r="B7" t="s">
        <v>9</v>
      </c>
      <c r="C7">
        <v>5</v>
      </c>
      <c r="D7">
        <v>2021</v>
      </c>
      <c r="F7" s="4">
        <f t="shared" si="0"/>
        <v>44317</v>
      </c>
    </row>
    <row r="8" spans="1:6" x14ac:dyDescent="0.3">
      <c r="A8">
        <v>13</v>
      </c>
      <c r="B8" t="s">
        <v>8</v>
      </c>
      <c r="C8">
        <v>7</v>
      </c>
      <c r="D8">
        <v>2021</v>
      </c>
      <c r="F8" s="4">
        <f t="shared" si="0"/>
        <v>44378</v>
      </c>
    </row>
    <row r="9" spans="1:6" x14ac:dyDescent="0.3">
      <c r="A9">
        <v>3</v>
      </c>
      <c r="B9" t="s">
        <v>8</v>
      </c>
      <c r="C9">
        <v>7</v>
      </c>
      <c r="D9">
        <v>2021</v>
      </c>
      <c r="F9" s="4">
        <f t="shared" si="0"/>
        <v>44378</v>
      </c>
    </row>
    <row r="10" spans="1:6" x14ac:dyDescent="0.3">
      <c r="A10">
        <v>1</v>
      </c>
      <c r="B10" t="s">
        <v>10</v>
      </c>
      <c r="C10">
        <v>8</v>
      </c>
      <c r="D10">
        <v>2021</v>
      </c>
      <c r="F10" s="4">
        <f t="shared" si="0"/>
        <v>44409</v>
      </c>
    </row>
    <row r="11" spans="1:6" x14ac:dyDescent="0.3">
      <c r="A11">
        <v>13</v>
      </c>
      <c r="B11" t="s">
        <v>14</v>
      </c>
      <c r="C11">
        <v>12</v>
      </c>
      <c r="D11">
        <v>2021</v>
      </c>
      <c r="F11" s="4">
        <f t="shared" si="0"/>
        <v>44531</v>
      </c>
    </row>
    <row r="12" spans="1:6" x14ac:dyDescent="0.3">
      <c r="A12">
        <v>12</v>
      </c>
      <c r="B12" t="s">
        <v>7</v>
      </c>
      <c r="C12">
        <v>2</v>
      </c>
      <c r="D12">
        <v>2022</v>
      </c>
      <c r="F12" s="4">
        <f t="shared" si="0"/>
        <v>44593</v>
      </c>
    </row>
    <row r="13" spans="1:6" x14ac:dyDescent="0.3">
      <c r="A13">
        <v>7</v>
      </c>
      <c r="B13" t="s">
        <v>13</v>
      </c>
      <c r="C13">
        <v>5</v>
      </c>
      <c r="D13">
        <v>2022</v>
      </c>
      <c r="F13" s="4">
        <f t="shared" si="0"/>
        <v>44682</v>
      </c>
    </row>
    <row r="14" spans="1:6" x14ac:dyDescent="0.3">
      <c r="A14">
        <v>18</v>
      </c>
      <c r="B14" t="s">
        <v>19</v>
      </c>
      <c r="C14">
        <v>6</v>
      </c>
      <c r="D14">
        <v>2022</v>
      </c>
      <c r="F14" s="4">
        <f t="shared" si="0"/>
        <v>44713</v>
      </c>
    </row>
    <row r="15" spans="1:6" x14ac:dyDescent="0.3">
      <c r="A15">
        <v>14</v>
      </c>
      <c r="B15" t="s">
        <v>17</v>
      </c>
      <c r="C15">
        <v>9</v>
      </c>
      <c r="D15">
        <v>2022</v>
      </c>
      <c r="F15" s="4">
        <f t="shared" si="0"/>
        <v>44805</v>
      </c>
    </row>
    <row r="16" spans="1:6" x14ac:dyDescent="0.3">
      <c r="A16">
        <v>19</v>
      </c>
      <c r="B16" t="s">
        <v>12</v>
      </c>
      <c r="C16">
        <v>10</v>
      </c>
      <c r="D16">
        <v>2022</v>
      </c>
      <c r="F16" s="4">
        <f t="shared" si="0"/>
        <v>44835</v>
      </c>
    </row>
  </sheetData>
  <sortState xmlns:xlrd2="http://schemas.microsoft.com/office/spreadsheetml/2017/richdata2" ref="A2:B16">
    <sortCondition ref="B2:B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3051-75B0-437E-BFC1-2C461877BBE4}">
  <dimension ref="A1:K23"/>
  <sheetViews>
    <sheetView workbookViewId="0">
      <selection activeCell="G4" sqref="G4:I17"/>
    </sheetView>
  </sheetViews>
  <sheetFormatPr defaultRowHeight="14.4" x14ac:dyDescent="0.3"/>
  <cols>
    <col min="1" max="1" width="22" customWidth="1"/>
    <col min="2" max="2" width="13.77734375" customWidth="1"/>
    <col min="3" max="3" width="15.5546875" customWidth="1"/>
    <col min="4" max="4" width="19" customWidth="1"/>
    <col min="5" max="5" width="17.88671875" customWidth="1"/>
    <col min="6" max="6" width="13" customWidth="1"/>
    <col min="7" max="7" width="28.77734375" customWidth="1"/>
    <col min="8" max="8" width="27.6640625" customWidth="1"/>
    <col min="9" max="9" width="23.44140625" customWidth="1"/>
    <col min="10" max="10" width="21.44140625" customWidth="1"/>
    <col min="11" max="11" width="19.33203125" customWidth="1"/>
    <col min="12" max="12" width="26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53</v>
      </c>
      <c r="H1" s="15" t="s">
        <v>54</v>
      </c>
      <c r="J1" s="13"/>
      <c r="K1" s="13"/>
    </row>
    <row r="2" spans="1:11" x14ac:dyDescent="0.3">
      <c r="A2">
        <v>2</v>
      </c>
      <c r="B2">
        <v>9</v>
      </c>
      <c r="C2" s="17">
        <v>308.67054667455221</v>
      </c>
      <c r="D2" s="17">
        <v>2778.0349200709688</v>
      </c>
      <c r="E2">
        <v>1</v>
      </c>
      <c r="G2" s="16">
        <f>AVERAGE(D2:D5)</f>
        <v>2165.4384608579408</v>
      </c>
      <c r="H2" s="17">
        <f>AVERAGE(D6:D11)</f>
        <v>1957.0813956902664</v>
      </c>
    </row>
    <row r="3" spans="1:11" x14ac:dyDescent="0.3">
      <c r="A3">
        <v>3</v>
      </c>
      <c r="B3">
        <v>5</v>
      </c>
      <c r="C3" s="17">
        <v>473.08210558404318</v>
      </c>
      <c r="D3" s="17">
        <v>2365.4105279202158</v>
      </c>
      <c r="E3">
        <v>1</v>
      </c>
    </row>
    <row r="4" spans="1:11" x14ac:dyDescent="0.3">
      <c r="A4">
        <v>7</v>
      </c>
      <c r="B4">
        <v>5</v>
      </c>
      <c r="C4" s="17">
        <v>477.18970160510361</v>
      </c>
      <c r="D4" s="17">
        <v>2385.9485080255181</v>
      </c>
      <c r="E4">
        <v>1</v>
      </c>
      <c r="G4" t="s">
        <v>21</v>
      </c>
    </row>
    <row r="5" spans="1:11" ht="15" thickBot="1" x14ac:dyDescent="0.35">
      <c r="A5">
        <v>19</v>
      </c>
      <c r="B5">
        <v>4</v>
      </c>
      <c r="C5" s="17">
        <v>283.08997185376501</v>
      </c>
      <c r="D5" s="17">
        <v>1132.35988741506</v>
      </c>
      <c r="E5">
        <v>1</v>
      </c>
    </row>
    <row r="6" spans="1:11" x14ac:dyDescent="0.3">
      <c r="A6">
        <v>19</v>
      </c>
      <c r="B6">
        <v>7</v>
      </c>
      <c r="C6" s="17">
        <v>329.08988293918628</v>
      </c>
      <c r="D6" s="17">
        <v>2303.629180574304</v>
      </c>
      <c r="E6">
        <v>2</v>
      </c>
      <c r="G6" s="12"/>
      <c r="H6" s="12" t="s">
        <v>22</v>
      </c>
      <c r="I6" s="12" t="s">
        <v>23</v>
      </c>
    </row>
    <row r="7" spans="1:11" x14ac:dyDescent="0.3">
      <c r="A7">
        <v>13</v>
      </c>
      <c r="B7">
        <v>8</v>
      </c>
      <c r="C7" s="17">
        <v>386.72426749543081</v>
      </c>
      <c r="D7" s="17">
        <v>3093.794139963446</v>
      </c>
      <c r="E7">
        <v>2</v>
      </c>
      <c r="G7" s="10" t="s">
        <v>24</v>
      </c>
      <c r="H7" s="10">
        <v>2165.4384608579408</v>
      </c>
      <c r="I7" s="10">
        <v>1957.0813956902664</v>
      </c>
    </row>
    <row r="8" spans="1:11" x14ac:dyDescent="0.3">
      <c r="A8">
        <v>1</v>
      </c>
      <c r="B8">
        <v>6</v>
      </c>
      <c r="C8" s="17">
        <v>462.26961634561849</v>
      </c>
      <c r="D8" s="17">
        <v>2773.6176980737109</v>
      </c>
      <c r="E8">
        <v>2</v>
      </c>
      <c r="G8" s="10" t="s">
        <v>25</v>
      </c>
      <c r="H8" s="10">
        <v>510379.75641804066</v>
      </c>
      <c r="I8" s="10">
        <v>1023778.2626519271</v>
      </c>
    </row>
    <row r="9" spans="1:11" x14ac:dyDescent="0.3">
      <c r="A9">
        <v>13</v>
      </c>
      <c r="B9">
        <v>5</v>
      </c>
      <c r="C9" s="17">
        <v>218.27916251125589</v>
      </c>
      <c r="D9" s="17">
        <v>1091.3958125562799</v>
      </c>
      <c r="E9">
        <v>2</v>
      </c>
      <c r="G9" s="10" t="s">
        <v>26</v>
      </c>
      <c r="H9" s="10">
        <v>4</v>
      </c>
      <c r="I9" s="10">
        <v>6</v>
      </c>
    </row>
    <row r="10" spans="1:11" x14ac:dyDescent="0.3">
      <c r="A10">
        <v>18</v>
      </c>
      <c r="B10">
        <v>7</v>
      </c>
      <c r="C10" s="17">
        <v>290.6348050432419</v>
      </c>
      <c r="D10" s="17">
        <v>2034.4436353026931</v>
      </c>
      <c r="E10">
        <v>2</v>
      </c>
      <c r="G10" s="10" t="s">
        <v>27</v>
      </c>
      <c r="H10" s="10">
        <v>831253.82281421963</v>
      </c>
      <c r="I10" s="10"/>
    </row>
    <row r="11" spans="1:11" x14ac:dyDescent="0.3">
      <c r="A11">
        <v>14</v>
      </c>
      <c r="B11">
        <v>1</v>
      </c>
      <c r="C11" s="17">
        <v>445.60790767116492</v>
      </c>
      <c r="D11" s="17">
        <v>445.60790767116492</v>
      </c>
      <c r="E11">
        <v>2</v>
      </c>
      <c r="G11" s="10" t="s">
        <v>28</v>
      </c>
      <c r="H11" s="10">
        <v>0</v>
      </c>
      <c r="I11" s="10"/>
    </row>
    <row r="12" spans="1:11" x14ac:dyDescent="0.3">
      <c r="A12">
        <v>16</v>
      </c>
      <c r="B12">
        <v>2</v>
      </c>
      <c r="C12" s="17">
        <v>220.24989974849399</v>
      </c>
      <c r="D12" s="17">
        <v>440.49979949698798</v>
      </c>
      <c r="E12">
        <v>3</v>
      </c>
      <c r="G12" s="10" t="s">
        <v>29</v>
      </c>
      <c r="H12" s="10">
        <v>8</v>
      </c>
      <c r="I12" s="10"/>
    </row>
    <row r="13" spans="1:11" x14ac:dyDescent="0.3">
      <c r="A13">
        <v>10</v>
      </c>
      <c r="B13">
        <v>6</v>
      </c>
      <c r="C13" s="17">
        <v>445.79896288197261</v>
      </c>
      <c r="D13" s="17">
        <v>2674.7937772918349</v>
      </c>
      <c r="E13">
        <v>3</v>
      </c>
      <c r="G13" s="10" t="s">
        <v>30</v>
      </c>
      <c r="H13" s="10">
        <v>0.3540356733163546</v>
      </c>
      <c r="I13" s="10"/>
    </row>
    <row r="14" spans="1:11" x14ac:dyDescent="0.3">
      <c r="A14">
        <v>19</v>
      </c>
      <c r="B14">
        <v>4</v>
      </c>
      <c r="C14" s="17">
        <v>352.7897314704457</v>
      </c>
      <c r="D14" s="17">
        <v>1411.158925881783</v>
      </c>
      <c r="E14">
        <v>3</v>
      </c>
      <c r="G14" s="10" t="s">
        <v>31</v>
      </c>
      <c r="H14" s="10">
        <v>0.36623102320972045</v>
      </c>
      <c r="I14" s="10"/>
    </row>
    <row r="15" spans="1:11" x14ac:dyDescent="0.3">
      <c r="A15">
        <v>3</v>
      </c>
      <c r="B15">
        <v>2</v>
      </c>
      <c r="C15" s="17">
        <v>429.35566619330717</v>
      </c>
      <c r="D15" s="17">
        <v>858.71133238661434</v>
      </c>
      <c r="E15">
        <v>4</v>
      </c>
      <c r="G15" s="10" t="s">
        <v>32</v>
      </c>
      <c r="H15" s="10">
        <v>1.8595480375308981</v>
      </c>
      <c r="I15" s="10"/>
    </row>
    <row r="16" spans="1:11" x14ac:dyDescent="0.3">
      <c r="A16">
        <v>12</v>
      </c>
      <c r="B16">
        <v>2</v>
      </c>
      <c r="C16" s="17">
        <v>21.023159158062089</v>
      </c>
      <c r="D16" s="17">
        <v>42.046318316124172</v>
      </c>
      <c r="E16">
        <v>4</v>
      </c>
      <c r="G16" s="10" t="s">
        <v>33</v>
      </c>
      <c r="H16" s="10">
        <v>0.7324620464194409</v>
      </c>
      <c r="I16" s="10"/>
    </row>
    <row r="17" spans="1:9" ht="15" thickBot="1" x14ac:dyDescent="0.35">
      <c r="G17" s="11" t="s">
        <v>34</v>
      </c>
      <c r="H17" s="11">
        <v>2.3060041352041671</v>
      </c>
      <c r="I17" s="11"/>
    </row>
    <row r="20" spans="1:9" ht="16.2" customHeight="1" x14ac:dyDescent="0.3"/>
    <row r="21" spans="1:9" x14ac:dyDescent="0.3">
      <c r="A21" s="18" t="s">
        <v>55</v>
      </c>
      <c r="B21" s="18"/>
      <c r="C21" s="18"/>
      <c r="D21" s="18"/>
    </row>
    <row r="22" spans="1:9" ht="15" customHeight="1" x14ac:dyDescent="0.3">
      <c r="A22" s="18"/>
      <c r="B22" s="18"/>
      <c r="C22" s="18"/>
      <c r="D22" s="18"/>
    </row>
    <row r="23" spans="1:9" x14ac:dyDescent="0.3">
      <c r="A23" s="18"/>
      <c r="B23" s="18"/>
      <c r="C23" s="18"/>
      <c r="D23" s="18"/>
    </row>
  </sheetData>
  <sortState xmlns:xlrd2="http://schemas.microsoft.com/office/spreadsheetml/2017/richdata2" ref="A2:E16">
    <sortCondition ref="E2:E16"/>
  </sortState>
  <mergeCells count="1">
    <mergeCell ref="A21:D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0D63-873F-44EC-8400-21B19DA6C8C4}">
  <dimension ref="A1:N28"/>
  <sheetViews>
    <sheetView topLeftCell="B1" workbookViewId="0">
      <selection activeCell="O5" sqref="O5"/>
    </sheetView>
  </sheetViews>
  <sheetFormatPr defaultRowHeight="14.4" x14ac:dyDescent="0.3"/>
  <cols>
    <col min="1" max="1" width="13.77734375" customWidth="1"/>
    <col min="2" max="2" width="12.33203125" customWidth="1"/>
    <col min="3" max="3" width="13.6640625" customWidth="1"/>
    <col min="4" max="4" width="16.21875" customWidth="1"/>
    <col min="5" max="5" width="12.6640625" customWidth="1"/>
    <col min="7" max="7" width="21.33203125" customWidth="1"/>
    <col min="8" max="8" width="20" customWidth="1"/>
    <col min="9" max="9" width="14.44140625" customWidth="1"/>
    <col min="10" max="10" width="12.88671875" customWidth="1"/>
    <col min="11" max="11" width="13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3" t="s">
        <v>59</v>
      </c>
      <c r="H1" s="5" t="s">
        <v>52</v>
      </c>
      <c r="I1" s="5" t="s">
        <v>51</v>
      </c>
      <c r="J1" s="5" t="s">
        <v>56</v>
      </c>
      <c r="K1" s="5" t="s">
        <v>57</v>
      </c>
    </row>
    <row r="2" spans="1:12" x14ac:dyDescent="0.3">
      <c r="A2">
        <v>2</v>
      </c>
      <c r="B2">
        <v>9</v>
      </c>
      <c r="C2">
        <v>308.67054667455199</v>
      </c>
      <c r="D2" s="19">
        <v>2778.0349200709688</v>
      </c>
      <c r="E2">
        <v>1</v>
      </c>
      <c r="G2" s="17">
        <f>AVERAGE(D2:D5)</f>
        <v>2165.4384608579408</v>
      </c>
      <c r="H2">
        <v>308.67054667455199</v>
      </c>
      <c r="I2">
        <v>329.08988293918628</v>
      </c>
      <c r="J2">
        <v>220.24989974849399</v>
      </c>
      <c r="K2">
        <v>429.35566619330717</v>
      </c>
    </row>
    <row r="3" spans="1:12" x14ac:dyDescent="0.3">
      <c r="A3">
        <v>3</v>
      </c>
      <c r="B3">
        <v>5</v>
      </c>
      <c r="C3">
        <v>473.08210558404318</v>
      </c>
      <c r="D3" s="19">
        <v>2365.4105279202158</v>
      </c>
      <c r="E3">
        <v>1</v>
      </c>
      <c r="G3" s="17">
        <f>AVERAGE(D6:D11)</f>
        <v>1957.0813956902664</v>
      </c>
      <c r="H3">
        <v>473.08210558404318</v>
      </c>
      <c r="I3">
        <v>386.72426749543081</v>
      </c>
      <c r="J3">
        <v>445.79896288197261</v>
      </c>
      <c r="K3">
        <v>21.023159158062089</v>
      </c>
    </row>
    <row r="4" spans="1:12" x14ac:dyDescent="0.3">
      <c r="A4">
        <v>7</v>
      </c>
      <c r="B4">
        <v>5</v>
      </c>
      <c r="C4">
        <v>477.18970160510361</v>
      </c>
      <c r="D4" s="19">
        <v>2385.9485080255181</v>
      </c>
      <c r="E4">
        <v>1</v>
      </c>
      <c r="G4" s="17">
        <f>AVERAGE(D12:D14)</f>
        <v>1508.8175008902019</v>
      </c>
      <c r="H4">
        <v>477.18970160510361</v>
      </c>
      <c r="I4">
        <v>462.26961634561849</v>
      </c>
      <c r="J4">
        <v>352.7897314704457</v>
      </c>
    </row>
    <row r="5" spans="1:12" x14ac:dyDescent="0.3">
      <c r="A5">
        <v>19</v>
      </c>
      <c r="B5">
        <v>4</v>
      </c>
      <c r="C5">
        <v>283.08997185376501</v>
      </c>
      <c r="D5" s="19">
        <v>1132.35988741506</v>
      </c>
      <c r="E5">
        <v>1</v>
      </c>
      <c r="G5" s="17">
        <f>AVERAGE(D15:D16)</f>
        <v>450.37882535136924</v>
      </c>
      <c r="H5">
        <v>283.08997185376501</v>
      </c>
      <c r="I5">
        <v>218.27916251125589</v>
      </c>
    </row>
    <row r="6" spans="1:12" x14ac:dyDescent="0.3">
      <c r="A6">
        <v>19</v>
      </c>
      <c r="B6">
        <v>7</v>
      </c>
      <c r="C6">
        <v>329.08988293918628</v>
      </c>
      <c r="D6" s="19">
        <v>2303.629180574304</v>
      </c>
      <c r="E6">
        <v>2</v>
      </c>
      <c r="I6">
        <v>290.6348050432419</v>
      </c>
    </row>
    <row r="7" spans="1:12" x14ac:dyDescent="0.3">
      <c r="A7">
        <v>13</v>
      </c>
      <c r="B7">
        <v>8</v>
      </c>
      <c r="C7">
        <v>386.72426749543081</v>
      </c>
      <c r="D7" s="19">
        <v>3093.794139963446</v>
      </c>
      <c r="E7">
        <v>2</v>
      </c>
      <c r="I7">
        <v>445.60790767116492</v>
      </c>
    </row>
    <row r="8" spans="1:12" x14ac:dyDescent="0.3">
      <c r="A8">
        <v>1</v>
      </c>
      <c r="B8">
        <v>6</v>
      </c>
      <c r="C8">
        <v>462.26961634561849</v>
      </c>
      <c r="D8" s="19">
        <v>2773.6176980737109</v>
      </c>
      <c r="E8">
        <v>2</v>
      </c>
    </row>
    <row r="9" spans="1:12" x14ac:dyDescent="0.3">
      <c r="A9">
        <v>13</v>
      </c>
      <c r="B9">
        <v>5</v>
      </c>
      <c r="C9">
        <v>218.27916251125589</v>
      </c>
      <c r="D9" s="19">
        <v>1091.3958125562799</v>
      </c>
      <c r="E9">
        <v>2</v>
      </c>
    </row>
    <row r="10" spans="1:12" x14ac:dyDescent="0.3">
      <c r="A10">
        <v>18</v>
      </c>
      <c r="B10">
        <v>7</v>
      </c>
      <c r="C10">
        <v>290.6348050432419</v>
      </c>
      <c r="D10" s="19">
        <v>2034.4436353026931</v>
      </c>
      <c r="E10">
        <v>2</v>
      </c>
    </row>
    <row r="11" spans="1:12" x14ac:dyDescent="0.3">
      <c r="A11">
        <v>14</v>
      </c>
      <c r="B11">
        <v>1</v>
      </c>
      <c r="C11">
        <v>445.60790767116492</v>
      </c>
      <c r="D11" s="19">
        <v>445.60790767116492</v>
      </c>
      <c r="E11">
        <v>2</v>
      </c>
      <c r="H11" t="s">
        <v>36</v>
      </c>
    </row>
    <row r="12" spans="1:12" x14ac:dyDescent="0.3">
      <c r="A12">
        <v>16</v>
      </c>
      <c r="B12">
        <v>2</v>
      </c>
      <c r="C12">
        <v>220.24989974849399</v>
      </c>
      <c r="D12" s="19">
        <v>440.49979949698798</v>
      </c>
      <c r="E12">
        <v>3</v>
      </c>
    </row>
    <row r="13" spans="1:12" ht="15" thickBot="1" x14ac:dyDescent="0.35">
      <c r="A13">
        <v>10</v>
      </c>
      <c r="B13">
        <v>6</v>
      </c>
      <c r="C13">
        <v>445.79896288197261</v>
      </c>
      <c r="D13" s="19">
        <v>2674.7937772918349</v>
      </c>
      <c r="E13">
        <v>3</v>
      </c>
      <c r="H13" t="s">
        <v>37</v>
      </c>
    </row>
    <row r="14" spans="1:12" x14ac:dyDescent="0.3">
      <c r="A14">
        <v>19</v>
      </c>
      <c r="B14">
        <v>4</v>
      </c>
      <c r="C14">
        <v>352.7897314704457</v>
      </c>
      <c r="D14" s="19">
        <v>1411.158925881783</v>
      </c>
      <c r="E14">
        <v>3</v>
      </c>
      <c r="H14" s="12" t="s">
        <v>38</v>
      </c>
      <c r="I14" s="12" t="s">
        <v>39</v>
      </c>
      <c r="J14" s="12" t="s">
        <v>40</v>
      </c>
      <c r="K14" s="12" t="s">
        <v>35</v>
      </c>
      <c r="L14" s="12" t="s">
        <v>25</v>
      </c>
    </row>
    <row r="15" spans="1:12" x14ac:dyDescent="0.3">
      <c r="A15">
        <v>3</v>
      </c>
      <c r="B15">
        <v>2</v>
      </c>
      <c r="C15">
        <v>429.35566619330717</v>
      </c>
      <c r="D15" s="19">
        <v>858.71133238661434</v>
      </c>
      <c r="E15">
        <v>4</v>
      </c>
      <c r="H15" s="10" t="s">
        <v>52</v>
      </c>
      <c r="I15" s="10">
        <v>4</v>
      </c>
      <c r="J15" s="10">
        <v>1542.0323257174639</v>
      </c>
      <c r="K15" s="10">
        <v>385.50808142936597</v>
      </c>
      <c r="L15" s="10">
        <v>10822.735033643045</v>
      </c>
    </row>
    <row r="16" spans="1:12" x14ac:dyDescent="0.3">
      <c r="A16">
        <v>12</v>
      </c>
      <c r="B16">
        <v>2</v>
      </c>
      <c r="C16">
        <v>21.023159158062089</v>
      </c>
      <c r="D16" s="19">
        <v>42.046318316124172</v>
      </c>
      <c r="E16">
        <v>4</v>
      </c>
      <c r="H16" s="10" t="s">
        <v>51</v>
      </c>
      <c r="I16" s="10">
        <v>6</v>
      </c>
      <c r="J16" s="10">
        <v>2132.6056420058985</v>
      </c>
      <c r="K16" s="10">
        <v>355.43427366764973</v>
      </c>
      <c r="L16" s="10">
        <v>8845.7322002887486</v>
      </c>
    </row>
    <row r="17" spans="1:14" x14ac:dyDescent="0.3">
      <c r="H17" s="10" t="s">
        <v>56</v>
      </c>
      <c r="I17" s="10">
        <v>3</v>
      </c>
      <c r="J17" s="10">
        <v>1018.8385941009124</v>
      </c>
      <c r="K17" s="10">
        <v>339.6128647003041</v>
      </c>
      <c r="L17" s="10">
        <v>12848.317333506013</v>
      </c>
    </row>
    <row r="18" spans="1:14" ht="15" thickBot="1" x14ac:dyDescent="0.35">
      <c r="H18" s="11" t="s">
        <v>57</v>
      </c>
      <c r="I18" s="11">
        <v>2</v>
      </c>
      <c r="J18" s="11">
        <v>450.37882535136924</v>
      </c>
      <c r="K18" s="11">
        <v>225.18941267568462</v>
      </c>
      <c r="L18" s="11">
        <v>83367.71815084423</v>
      </c>
    </row>
    <row r="21" spans="1:14" ht="15" thickBot="1" x14ac:dyDescent="0.35">
      <c r="H21" t="s">
        <v>41</v>
      </c>
    </row>
    <row r="22" spans="1:14" x14ac:dyDescent="0.3">
      <c r="H22" s="12" t="s">
        <v>42</v>
      </c>
      <c r="I22" s="12" t="s">
        <v>43</v>
      </c>
      <c r="J22" s="12" t="s">
        <v>29</v>
      </c>
      <c r="K22" s="12" t="s">
        <v>44</v>
      </c>
      <c r="L22" s="12" t="s">
        <v>45</v>
      </c>
      <c r="M22" s="12" t="s">
        <v>46</v>
      </c>
      <c r="N22" s="12" t="s">
        <v>47</v>
      </c>
    </row>
    <row r="23" spans="1:14" ht="15.6" customHeight="1" x14ac:dyDescent="0.3">
      <c r="A23" s="14" t="s">
        <v>58</v>
      </c>
      <c r="B23" s="14"/>
      <c r="C23" s="14"/>
      <c r="D23" s="14"/>
      <c r="E23" s="14"/>
      <c r="H23" s="10" t="s">
        <v>48</v>
      </c>
      <c r="I23" s="10">
        <v>35948.414602522244</v>
      </c>
      <c r="J23" s="10">
        <v>3</v>
      </c>
      <c r="K23" s="10">
        <v>11982.804867507415</v>
      </c>
      <c r="L23" s="10">
        <v>0.70957142889541724</v>
      </c>
      <c r="M23" s="10">
        <v>0.56621915207681772</v>
      </c>
      <c r="N23" s="10">
        <v>3.5874337024204954</v>
      </c>
    </row>
    <row r="24" spans="1:14" x14ac:dyDescent="0.3">
      <c r="A24" s="14"/>
      <c r="B24" s="14"/>
      <c r="C24" s="14"/>
      <c r="D24" s="14"/>
      <c r="E24" s="14"/>
      <c r="H24" s="10" t="s">
        <v>49</v>
      </c>
      <c r="I24" s="10">
        <v>185761.21892022935</v>
      </c>
      <c r="J24" s="10">
        <v>11</v>
      </c>
      <c r="K24" s="10">
        <v>16887.38353820267</v>
      </c>
      <c r="L24" s="10"/>
      <c r="M24" s="10"/>
      <c r="N24" s="10"/>
    </row>
    <row r="25" spans="1:14" x14ac:dyDescent="0.3">
      <c r="A25" s="14"/>
      <c r="B25" s="14"/>
      <c r="C25" s="14"/>
      <c r="D25" s="14"/>
      <c r="E25" s="14"/>
      <c r="H25" s="10"/>
      <c r="I25" s="10"/>
      <c r="J25" s="10"/>
      <c r="K25" s="10"/>
      <c r="L25" s="10"/>
      <c r="M25" s="10"/>
      <c r="N25" s="10"/>
    </row>
    <row r="26" spans="1:14" ht="15" thickBot="1" x14ac:dyDescent="0.35">
      <c r="A26" s="14"/>
      <c r="B26" s="14"/>
      <c r="C26" s="14"/>
      <c r="D26" s="14"/>
      <c r="E26" s="14"/>
      <c r="H26" s="11" t="s">
        <v>50</v>
      </c>
      <c r="I26" s="11">
        <v>221709.6335227516</v>
      </c>
      <c r="J26" s="11">
        <v>14</v>
      </c>
      <c r="K26" s="11"/>
      <c r="L26" s="11"/>
      <c r="M26" s="11"/>
      <c r="N26" s="11"/>
    </row>
    <row r="27" spans="1:14" x14ac:dyDescent="0.3">
      <c r="A27" s="14"/>
      <c r="B27" s="14"/>
      <c r="C27" s="14"/>
      <c r="D27" s="14"/>
      <c r="E27" s="14"/>
    </row>
    <row r="28" spans="1:14" x14ac:dyDescent="0.3">
      <c r="A28" s="14"/>
      <c r="B28" s="14"/>
      <c r="C28" s="14"/>
      <c r="D28" s="14"/>
      <c r="E28" s="14"/>
    </row>
  </sheetData>
  <mergeCells count="1">
    <mergeCell ref="A23:E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002B34374FD24CB6E65B822D0CCE0A" ma:contentTypeVersion="3" ma:contentTypeDescription="Create a new document." ma:contentTypeScope="" ma:versionID="f843bf0406f5fd4297c1aede5f6ce153">
  <xsd:schema xmlns:xsd="http://www.w3.org/2001/XMLSchema" xmlns:xs="http://www.w3.org/2001/XMLSchema" xmlns:p="http://schemas.microsoft.com/office/2006/metadata/properties" xmlns:ns3="f5699fcd-7b53-4c2a-91ba-b00aedf67f36" targetNamespace="http://schemas.microsoft.com/office/2006/metadata/properties" ma:root="true" ma:fieldsID="3cc1d4167c17aa72aaf517ba09284302" ns3:_="">
    <xsd:import namespace="f5699fcd-7b53-4c2a-91ba-b00aedf67f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99fcd-7b53-4c2a-91ba-b00aedf67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DBA534-205F-4CCB-8F72-128EDCA6C0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F5619A-9792-4F9E-A314-DD0C348AD5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699fcd-7b53-4c2a-91ba-b00aedf67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D80450-F2A5-4F36-978E-8FA9894C7B0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3-month average</vt:lpstr>
      <vt:lpstr>Correlation</vt:lpstr>
      <vt:lpstr>Covariance</vt:lpstr>
      <vt:lpstr>Sheet1</vt:lpstr>
      <vt:lpstr>T-test</vt:lpstr>
      <vt:lpstr>ANOVA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Suryanshu Sharma</dc:creator>
  <cp:keywords/>
  <dc:description/>
  <cp:lastModifiedBy>Marina Karpa</cp:lastModifiedBy>
  <cp:revision/>
  <dcterms:created xsi:type="dcterms:W3CDTF">2023-12-21T10:59:48Z</dcterms:created>
  <dcterms:modified xsi:type="dcterms:W3CDTF">2026-09-01T10:22:05Z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0x01010065002B34374FD24CB6E65B822D0CCE0A</vt:lpwstr>
  </property>
</Properties>
</file>